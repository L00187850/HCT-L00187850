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50_atu_ie/Documents/Hybrid Cloud Technology/Data Centre/"/>
    </mc:Choice>
  </mc:AlternateContent>
  <xr:revisionPtr revIDLastSave="473" documentId="8_{36588657-63CB-4AE9-B6B3-2529C542F04B}" xr6:coauthVersionLast="47" xr6:coauthVersionMax="47" xr10:uidLastSave="{5C2FBB00-D5E2-4FDD-9573-C393FA992923}"/>
  <bookViews>
    <workbookView xWindow="28680" yWindow="-120" windowWidth="29040" windowHeight="15720" activeTab="3" xr2:uid="{8941510A-BD31-420F-8AB9-FDB2DCA76284}"/>
  </bookViews>
  <sheets>
    <sheet name="Macro(OLD)" sheetId="1" r:id="rId1"/>
    <sheet name="Storage(OLD)" sheetId="4" r:id="rId2"/>
    <sheet name="Sheet2" sheetId="2" r:id="rId3"/>
    <sheet name="Macro" sheetId="6" r:id="rId4"/>
    <sheet name="Compute" sheetId="3" r:id="rId5"/>
    <sheet name="Storage" sheetId="5" r:id="rId6"/>
  </sheets>
  <definedNames>
    <definedName name="AAA">Compute!$B$8</definedName>
    <definedName name="Applications_Per_Cluster">Compute!$B$3</definedName>
    <definedName name="Cluster_over_5_years">Macro!$B$4</definedName>
    <definedName name="Clustered_Database_Servers">Compute!$B$7</definedName>
    <definedName name="Clusters_Per_Rack">Macro!$B$7</definedName>
    <definedName name="CPU_PER_VM">Compute!$B$11</definedName>
    <definedName name="CPUs_per_Server">Compute!$B$24</definedName>
    <definedName name="design_value">Compute!$C$15</definedName>
    <definedName name="Height_Units_HU__per_Cluster">Macro!$B$6</definedName>
    <definedName name="HU">Sheet2!$A$2</definedName>
    <definedName name="Load_Balanced_Web_Servers">Compute!$B$5</definedName>
    <definedName name="Logging_Servers">Compute!$B$9</definedName>
    <definedName name="Management_Clusters">Macro!$B$14</definedName>
    <definedName name="Margin">Compute!$E$14</definedName>
    <definedName name="min_dram_per_server">Compute!$E$18</definedName>
    <definedName name="per_application">Compute!$E$13</definedName>
    <definedName name="Programme_Code_Servers">Compute!$B$6</definedName>
    <definedName name="Server_Height_Units_B5">Macro!$B$5</definedName>
    <definedName name="Server_Height_Units_HU">Macro!$B$5</definedName>
    <definedName name="Server_per_Cluster">Macro!$B$1</definedName>
    <definedName name="Servers_per_cluster">Compute!$B$21</definedName>
    <definedName name="Size_of_DRAM">Compute!$B$22</definedName>
    <definedName name="Total_Applications_over_5_years">Macro!$B$3</definedName>
    <definedName name="Total_Cluster">Compute!$C$16</definedName>
    <definedName name="total_cluster_gb_Value">Compute!$E$16</definedName>
    <definedName name="total_cpus">Compute!$C$5:$C$12</definedName>
    <definedName name="total_cpus_per_application">Compute!$C$13</definedName>
    <definedName name="Total_Design_Value">Compute!$E$15</definedName>
    <definedName name="total_memory_in_gb">Compute!$E$5:$E$9</definedName>
    <definedName name="Virtual_Servers">Compute!$B$4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8" i="6"/>
  <c r="B4" i="6"/>
  <c r="B1" i="6"/>
  <c r="B2" i="6"/>
  <c r="C9" i="3"/>
  <c r="C8" i="3"/>
  <c r="C7" i="3"/>
  <c r="C6" i="3"/>
  <c r="C5" i="3"/>
  <c r="C13" i="3" s="1"/>
  <c r="C15" i="3" s="1"/>
  <c r="E13" i="3"/>
  <c r="E15" i="3" s="1"/>
  <c r="E16" i="3" s="1"/>
  <c r="E9" i="3"/>
  <c r="E7" i="3"/>
  <c r="E8" i="3"/>
  <c r="E6" i="3"/>
  <c r="E5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13" i="1"/>
  <c r="C16" i="3" l="1"/>
  <c r="C18" i="3" s="1"/>
  <c r="B24" i="3" l="1"/>
  <c r="E18" i="3"/>
  <c r="B23" i="3" s="1"/>
  <c r="E23" i="3" s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Stewart</author>
  </authors>
  <commentList>
    <comment ref="B23" authorId="0" shapeId="0" xr:uid="{BC5F76AC-43A5-44D6-9459-46C6E9156F81}">
      <text>
        <r>
          <rPr>
            <b/>
            <sz val="9"/>
            <color indexed="81"/>
            <rFont val="Tahoma"/>
            <family val="2"/>
          </rPr>
          <t>Philip Stewart:</t>
        </r>
        <r>
          <rPr>
            <sz val="9"/>
            <color indexed="81"/>
            <rFont val="Tahoma"/>
            <family val="2"/>
          </rPr>
          <t xml:space="preserve">
Margin already included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Stewart</author>
  </authors>
  <commentList>
    <comment ref="C1" authorId="0" shapeId="0" xr:uid="{6BCAC98B-F9D0-494C-9FC6-11E7DB382525}">
      <text>
        <r>
          <rPr>
            <b/>
            <sz val="9"/>
            <color indexed="81"/>
            <rFont val="Tahoma"/>
            <family val="2"/>
          </rPr>
          <t>Philip Stewart:</t>
        </r>
        <r>
          <rPr>
            <sz val="9"/>
            <color indexed="81"/>
            <rFont val="Tahoma"/>
            <family val="2"/>
          </rPr>
          <t xml:space="preserve">
Mirrored on separate controller
</t>
        </r>
      </text>
    </comment>
  </commentList>
</comments>
</file>

<file path=xl/sharedStrings.xml><?xml version="1.0" encoding="utf-8"?>
<sst xmlns="http://schemas.openxmlformats.org/spreadsheetml/2006/main" count="122" uniqueCount="86">
  <si>
    <t>Variable</t>
  </si>
  <si>
    <t>Value</t>
  </si>
  <si>
    <t>App Instances</t>
  </si>
  <si>
    <t>SSD Storage per App (TB)</t>
  </si>
  <si>
    <t>HDD Storage per App (TB)</t>
  </si>
  <si>
    <t>IOPS per App</t>
  </si>
  <si>
    <t>vCPU per VM</t>
  </si>
  <si>
    <t>RAM per VM (GB)</t>
  </si>
  <si>
    <t>VMs per App</t>
  </si>
  <si>
    <t>Remote Sites</t>
  </si>
  <si>
    <t>Replication per Site (GB/day)</t>
  </si>
  <si>
    <t>Number of Unique Applications (5-year plan)</t>
  </si>
  <si>
    <t>Max Instances per unique application</t>
  </si>
  <si>
    <t>Total possible Virtual Machines (5 year Max Projected)</t>
  </si>
  <si>
    <t>Server Per Cluser</t>
  </si>
  <si>
    <t>Management Clusters</t>
  </si>
  <si>
    <t>Topology</t>
  </si>
  <si>
    <t>End of Row</t>
  </si>
  <si>
    <t>Management Servers</t>
  </si>
  <si>
    <t>DRAM Per Server</t>
  </si>
  <si>
    <t>GB</t>
  </si>
  <si>
    <t>Apps Per Cluster</t>
  </si>
  <si>
    <t>Total Apps over 5 years</t>
  </si>
  <si>
    <t>Server HU</t>
  </si>
  <si>
    <t>HU per Rack</t>
  </si>
  <si>
    <t>Clusters per Rack</t>
  </si>
  <si>
    <t>Cluster over 5 years</t>
  </si>
  <si>
    <t>HU per Cluster</t>
  </si>
  <si>
    <t>HU</t>
  </si>
  <si>
    <t>KVM</t>
  </si>
  <si>
    <t>PDU-A</t>
  </si>
  <si>
    <t>PDU-B</t>
  </si>
  <si>
    <t>1GB</t>
  </si>
  <si>
    <t>10GB</t>
  </si>
  <si>
    <t>ToR Switch</t>
  </si>
  <si>
    <t>Out of Band Management Switch</t>
  </si>
  <si>
    <t>CPUs</t>
  </si>
  <si>
    <t>Per Server</t>
  </si>
  <si>
    <t>Total</t>
  </si>
  <si>
    <t>Applications Per Cluster</t>
  </si>
  <si>
    <t>Load Balanced Web Servers</t>
  </si>
  <si>
    <t>Programme Code Servers</t>
  </si>
  <si>
    <t>AAA</t>
  </si>
  <si>
    <t>Virtual Servers</t>
  </si>
  <si>
    <t>Logging Servers</t>
  </si>
  <si>
    <t>Clustered Database Servers</t>
  </si>
  <si>
    <t>Numberic Values, High Confidence</t>
  </si>
  <si>
    <t>Memory (GB)</t>
  </si>
  <si>
    <t>BenchMark I/O sizes of</t>
  </si>
  <si>
    <t>8KB</t>
  </si>
  <si>
    <t>CPU per VM</t>
  </si>
  <si>
    <t>Numberic Values, Low Confidence</t>
  </si>
  <si>
    <t>Margin</t>
  </si>
  <si>
    <t>Total Cluster</t>
  </si>
  <si>
    <t>Per Application</t>
  </si>
  <si>
    <t>Design Value</t>
  </si>
  <si>
    <t>Servers per cluster</t>
  </si>
  <si>
    <t>Size of DRAM</t>
  </si>
  <si>
    <t>DRAM per Server</t>
  </si>
  <si>
    <t>Units</t>
  </si>
  <si>
    <t>Numeric</t>
  </si>
  <si>
    <t>CPUs per Server</t>
  </si>
  <si>
    <t>Memory Per Server</t>
  </si>
  <si>
    <t>Results</t>
  </si>
  <si>
    <t>DIMMS</t>
  </si>
  <si>
    <t>Servers</t>
  </si>
  <si>
    <t>Quantity</t>
  </si>
  <si>
    <t>OS</t>
  </si>
  <si>
    <t>Capacity</t>
  </si>
  <si>
    <t>Log Files</t>
  </si>
  <si>
    <t>Application</t>
  </si>
  <si>
    <t>Database</t>
  </si>
  <si>
    <t>Backup</t>
  </si>
  <si>
    <t>RAID10</t>
  </si>
  <si>
    <t>Availability</t>
  </si>
  <si>
    <t>RAID1</t>
  </si>
  <si>
    <t>RAI6</t>
  </si>
  <si>
    <t>RAID5</t>
  </si>
  <si>
    <t>Do Not Change</t>
  </si>
  <si>
    <t>Total Applications over 5 years</t>
  </si>
  <si>
    <t>A Data Centre pos is a modular and scalable unit that provides the infrastructure necessary to house and mange data centre operations</t>
  </si>
  <si>
    <t>Height Units(HU) per Cluster</t>
  </si>
  <si>
    <t>Server Height Units(HU)</t>
  </si>
  <si>
    <t>Server per Cluster</t>
  </si>
  <si>
    <t>Clusters Per Rack</t>
  </si>
  <si>
    <t>Height Units(HU) per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</si>
</sst>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A75F-C681-4A12-BBF9-946F81F98A2A}">
  <dimension ref="A1:B13"/>
  <sheetViews>
    <sheetView workbookViewId="0">
      <selection activeCell="B13" sqref="B13"/>
    </sheetView>
  </sheetViews>
  <sheetFormatPr defaultRowHeight="15" x14ac:dyDescent="0.25"/>
  <cols>
    <col min="1" max="1" width="3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0.78400000000000003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1800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60</v>
      </c>
    </row>
    <row r="10" spans="1:2" x14ac:dyDescent="0.25">
      <c r="A10" t="s">
        <v>10</v>
      </c>
      <c r="B10">
        <v>0.5</v>
      </c>
    </row>
    <row r="11" spans="1:2" x14ac:dyDescent="0.25">
      <c r="A11" t="s">
        <v>11</v>
      </c>
      <c r="B11">
        <v>100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f>B11*B12*B8</f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1819-450D-49F2-8BA9-9CE371AD8F72}">
  <dimension ref="A1:C17"/>
  <sheetViews>
    <sheetView workbookViewId="0">
      <selection activeCell="B1" sqref="B1"/>
    </sheetView>
  </sheetViews>
  <sheetFormatPr defaultRowHeight="15" x14ac:dyDescent="0.25"/>
  <cols>
    <col min="1" max="1" width="20.28515625" bestFit="1" customWidth="1"/>
    <col min="2" max="2" width="10.5703125" bestFit="1" customWidth="1"/>
    <col min="3" max="3" width="3.42578125" bestFit="1" customWidth="1"/>
  </cols>
  <sheetData>
    <row r="1" spans="1:2" x14ac:dyDescent="0.25">
      <c r="A1" t="s">
        <v>14</v>
      </c>
      <c r="B1">
        <v>5</v>
      </c>
    </row>
    <row r="2" spans="1:2" x14ac:dyDescent="0.25">
      <c r="A2" t="s">
        <v>21</v>
      </c>
      <c r="B2">
        <v>4</v>
      </c>
    </row>
    <row r="3" spans="1:2" x14ac:dyDescent="0.25">
      <c r="A3" t="s">
        <v>22</v>
      </c>
      <c r="B3">
        <v>100</v>
      </c>
    </row>
    <row r="4" spans="1:2" x14ac:dyDescent="0.25">
      <c r="A4" t="s">
        <v>26</v>
      </c>
      <c r="B4">
        <v>25</v>
      </c>
    </row>
    <row r="5" spans="1:2" x14ac:dyDescent="0.25">
      <c r="A5" t="s">
        <v>23</v>
      </c>
      <c r="B5">
        <v>2</v>
      </c>
    </row>
    <row r="6" spans="1:2" x14ac:dyDescent="0.25">
      <c r="A6" t="s">
        <v>27</v>
      </c>
      <c r="B6">
        <v>10</v>
      </c>
    </row>
    <row r="7" spans="1:2" x14ac:dyDescent="0.25">
      <c r="A7" t="s">
        <v>25</v>
      </c>
      <c r="B7">
        <v>4</v>
      </c>
    </row>
    <row r="8" spans="1:2" x14ac:dyDescent="0.25">
      <c r="A8" t="s">
        <v>24</v>
      </c>
      <c r="B8">
        <v>40</v>
      </c>
    </row>
    <row r="14" spans="1:2" x14ac:dyDescent="0.25">
      <c r="A14" t="s">
        <v>15</v>
      </c>
      <c r="B14">
        <v>2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</row>
    <row r="17" spans="1:3" x14ac:dyDescent="0.25">
      <c r="A17" t="s">
        <v>19</v>
      </c>
      <c r="B17">
        <v>514</v>
      </c>
      <c r="C1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C2F6-283F-4ABB-BC89-C1B83CD59A70}">
  <dimension ref="A1:I52"/>
  <sheetViews>
    <sheetView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9.140625" style="2"/>
    <col min="2" max="2" width="9.140625" style="3"/>
    <col min="6" max="6" width="30.140625" customWidth="1"/>
  </cols>
  <sheetData>
    <row r="1" spans="1:9" x14ac:dyDescent="0.25">
      <c r="A1" s="2" t="s">
        <v>28</v>
      </c>
    </row>
    <row r="2" spans="1:9" x14ac:dyDescent="0.25">
      <c r="A2" s="2">
        <v>44.5</v>
      </c>
    </row>
    <row r="3" spans="1:9" x14ac:dyDescent="0.25">
      <c r="C3" t="s">
        <v>30</v>
      </c>
      <c r="D3" t="s">
        <v>32</v>
      </c>
      <c r="E3" t="s">
        <v>33</v>
      </c>
      <c r="G3" t="s">
        <v>32</v>
      </c>
      <c r="H3" t="s">
        <v>33</v>
      </c>
      <c r="I3" t="s">
        <v>31</v>
      </c>
    </row>
    <row r="4" spans="1:9" x14ac:dyDescent="0.25">
      <c r="A4" s="2">
        <v>48</v>
      </c>
      <c r="B4" s="3">
        <f t="shared" ref="B4:B51" si="0">A4*HU</f>
        <v>2136</v>
      </c>
    </row>
    <row r="5" spans="1:9" x14ac:dyDescent="0.25">
      <c r="A5" s="2">
        <v>47</v>
      </c>
      <c r="B5" s="3">
        <f t="shared" si="0"/>
        <v>2091.5</v>
      </c>
      <c r="F5" t="s">
        <v>34</v>
      </c>
    </row>
    <row r="6" spans="1:9" x14ac:dyDescent="0.25">
      <c r="A6" s="2">
        <v>46</v>
      </c>
      <c r="B6" s="3">
        <f t="shared" si="0"/>
        <v>2047</v>
      </c>
    </row>
    <row r="7" spans="1:9" x14ac:dyDescent="0.25">
      <c r="A7" s="2">
        <v>45</v>
      </c>
      <c r="B7" s="3">
        <f t="shared" si="0"/>
        <v>2002.5</v>
      </c>
      <c r="F7" t="s">
        <v>34</v>
      </c>
    </row>
    <row r="8" spans="1:9" x14ac:dyDescent="0.25">
      <c r="A8" s="2">
        <v>44</v>
      </c>
      <c r="B8" s="3">
        <f t="shared" si="0"/>
        <v>1958</v>
      </c>
    </row>
    <row r="9" spans="1:9" x14ac:dyDescent="0.25">
      <c r="A9" s="2">
        <v>43</v>
      </c>
      <c r="B9" s="3">
        <f t="shared" si="0"/>
        <v>1913.5</v>
      </c>
      <c r="F9" t="s">
        <v>35</v>
      </c>
    </row>
    <row r="10" spans="1:9" x14ac:dyDescent="0.25">
      <c r="A10" s="2">
        <v>42</v>
      </c>
      <c r="B10" s="3">
        <f t="shared" si="0"/>
        <v>1869</v>
      </c>
    </row>
    <row r="11" spans="1:9" x14ac:dyDescent="0.25">
      <c r="A11" s="2">
        <v>41</v>
      </c>
      <c r="B11" s="3">
        <f t="shared" si="0"/>
        <v>1824.5</v>
      </c>
    </row>
    <row r="12" spans="1:9" x14ac:dyDescent="0.25">
      <c r="A12" s="2">
        <v>40</v>
      </c>
      <c r="B12" s="3">
        <f t="shared" si="0"/>
        <v>1780</v>
      </c>
    </row>
    <row r="13" spans="1:9" x14ac:dyDescent="0.25">
      <c r="A13" s="2">
        <v>39</v>
      </c>
      <c r="B13" s="3">
        <f t="shared" si="0"/>
        <v>1735.5</v>
      </c>
    </row>
    <row r="14" spans="1:9" x14ac:dyDescent="0.25">
      <c r="A14" s="2">
        <v>38</v>
      </c>
      <c r="B14" s="3">
        <f t="shared" si="0"/>
        <v>1691</v>
      </c>
    </row>
    <row r="15" spans="1:9" x14ac:dyDescent="0.25">
      <c r="A15" s="2">
        <v>37</v>
      </c>
      <c r="B15" s="3">
        <f t="shared" si="0"/>
        <v>1646.5</v>
      </c>
    </row>
    <row r="16" spans="1:9" x14ac:dyDescent="0.25">
      <c r="A16" s="2">
        <v>36</v>
      </c>
      <c r="B16" s="3">
        <f t="shared" si="0"/>
        <v>1602</v>
      </c>
    </row>
    <row r="17" spans="1:9" x14ac:dyDescent="0.25">
      <c r="A17" s="2">
        <v>35</v>
      </c>
      <c r="B17" s="3">
        <f t="shared" si="0"/>
        <v>1557.5</v>
      </c>
    </row>
    <row r="18" spans="1:9" x14ac:dyDescent="0.25">
      <c r="A18" s="2">
        <v>34</v>
      </c>
      <c r="B18" s="3">
        <f t="shared" si="0"/>
        <v>1513</v>
      </c>
    </row>
    <row r="19" spans="1:9" x14ac:dyDescent="0.25">
      <c r="A19" s="2">
        <v>33</v>
      </c>
      <c r="B19" s="3">
        <f t="shared" si="0"/>
        <v>1468.5</v>
      </c>
    </row>
    <row r="20" spans="1:9" x14ac:dyDescent="0.25">
      <c r="A20" s="2">
        <v>32</v>
      </c>
      <c r="B20" s="3">
        <f t="shared" si="0"/>
        <v>1424</v>
      </c>
    </row>
    <row r="21" spans="1:9" x14ac:dyDescent="0.25">
      <c r="A21" s="2">
        <v>31</v>
      </c>
      <c r="B21" s="3">
        <f t="shared" si="0"/>
        <v>1379.5</v>
      </c>
    </row>
    <row r="22" spans="1:9" x14ac:dyDescent="0.25">
      <c r="A22" s="2">
        <v>30</v>
      </c>
      <c r="B22" s="3">
        <f t="shared" si="0"/>
        <v>1335</v>
      </c>
    </row>
    <row r="23" spans="1:9" x14ac:dyDescent="0.25">
      <c r="A23" s="2">
        <v>29</v>
      </c>
      <c r="B23" s="3">
        <f t="shared" si="0"/>
        <v>1290.5</v>
      </c>
    </row>
    <row r="24" spans="1:9" x14ac:dyDescent="0.25">
      <c r="A24" s="2">
        <v>28</v>
      </c>
      <c r="B24" s="3">
        <f t="shared" si="0"/>
        <v>1246</v>
      </c>
    </row>
    <row r="25" spans="1:9" x14ac:dyDescent="0.25">
      <c r="A25" s="2">
        <v>27</v>
      </c>
      <c r="B25" s="3">
        <f t="shared" si="0"/>
        <v>1201.5</v>
      </c>
    </row>
    <row r="26" spans="1:9" x14ac:dyDescent="0.25">
      <c r="A26" s="2">
        <v>26</v>
      </c>
      <c r="B26" s="3">
        <f t="shared" si="0"/>
        <v>1157</v>
      </c>
    </row>
    <row r="27" spans="1:9" x14ac:dyDescent="0.25">
      <c r="A27" s="2">
        <v>25</v>
      </c>
      <c r="B27" s="3">
        <f t="shared" si="0"/>
        <v>1112.5</v>
      </c>
    </row>
    <row r="28" spans="1:9" x14ac:dyDescent="0.25">
      <c r="A28" s="2">
        <v>24</v>
      </c>
      <c r="B28" s="3">
        <f t="shared" si="0"/>
        <v>1068</v>
      </c>
    </row>
    <row r="29" spans="1:9" x14ac:dyDescent="0.25">
      <c r="A29" s="2">
        <v>23</v>
      </c>
      <c r="B29" s="3">
        <f t="shared" si="0"/>
        <v>1023.5</v>
      </c>
    </row>
    <row r="30" spans="1:9" x14ac:dyDescent="0.25">
      <c r="A30" s="2">
        <v>22</v>
      </c>
      <c r="B30" s="3">
        <f t="shared" si="0"/>
        <v>979</v>
      </c>
    </row>
    <row r="31" spans="1:9" x14ac:dyDescent="0.25">
      <c r="A31" s="2">
        <v>21</v>
      </c>
      <c r="B31" s="3">
        <f t="shared" si="0"/>
        <v>934.5</v>
      </c>
    </row>
    <row r="32" spans="1:9" x14ac:dyDescent="0.25">
      <c r="A32" s="2">
        <v>20</v>
      </c>
      <c r="B32" s="3">
        <f t="shared" si="0"/>
        <v>890</v>
      </c>
      <c r="C32">
        <v>100</v>
      </c>
      <c r="D32">
        <v>1</v>
      </c>
      <c r="F32" t="s">
        <v>29</v>
      </c>
      <c r="G32">
        <v>1</v>
      </c>
      <c r="I32">
        <v>100</v>
      </c>
    </row>
    <row r="33" spans="1:2" x14ac:dyDescent="0.25">
      <c r="A33" s="2">
        <v>19</v>
      </c>
      <c r="B33" s="3">
        <f t="shared" si="0"/>
        <v>845.5</v>
      </c>
    </row>
    <row r="34" spans="1:2" x14ac:dyDescent="0.25">
      <c r="A34" s="2">
        <v>18</v>
      </c>
      <c r="B34" s="3">
        <f t="shared" si="0"/>
        <v>801</v>
      </c>
    </row>
    <row r="35" spans="1:2" x14ac:dyDescent="0.25">
      <c r="A35" s="2">
        <v>17</v>
      </c>
      <c r="B35" s="3">
        <f t="shared" si="0"/>
        <v>756.5</v>
      </c>
    </row>
    <row r="36" spans="1:2" x14ac:dyDescent="0.25">
      <c r="A36" s="2">
        <v>16</v>
      </c>
      <c r="B36" s="3">
        <f t="shared" si="0"/>
        <v>712</v>
      </c>
    </row>
    <row r="37" spans="1:2" x14ac:dyDescent="0.25">
      <c r="A37" s="2">
        <v>15</v>
      </c>
      <c r="B37" s="3">
        <f t="shared" si="0"/>
        <v>667.5</v>
      </c>
    </row>
    <row r="38" spans="1:2" x14ac:dyDescent="0.25">
      <c r="A38" s="2">
        <v>14</v>
      </c>
      <c r="B38" s="3">
        <f t="shared" si="0"/>
        <v>623</v>
      </c>
    </row>
    <row r="39" spans="1:2" x14ac:dyDescent="0.25">
      <c r="A39" s="2">
        <v>13</v>
      </c>
      <c r="B39" s="3">
        <f t="shared" si="0"/>
        <v>578.5</v>
      </c>
    </row>
    <row r="40" spans="1:2" x14ac:dyDescent="0.25">
      <c r="A40" s="2">
        <v>12</v>
      </c>
      <c r="B40" s="3">
        <f t="shared" si="0"/>
        <v>534</v>
      </c>
    </row>
    <row r="41" spans="1:2" x14ac:dyDescent="0.25">
      <c r="A41" s="2">
        <v>11</v>
      </c>
      <c r="B41" s="3">
        <f t="shared" si="0"/>
        <v>489.5</v>
      </c>
    </row>
    <row r="42" spans="1:2" x14ac:dyDescent="0.25">
      <c r="A42" s="2">
        <v>10</v>
      </c>
      <c r="B42" s="3">
        <f t="shared" si="0"/>
        <v>445</v>
      </c>
    </row>
    <row r="43" spans="1:2" x14ac:dyDescent="0.25">
      <c r="A43" s="2">
        <v>9</v>
      </c>
      <c r="B43" s="3">
        <f t="shared" si="0"/>
        <v>400.5</v>
      </c>
    </row>
    <row r="44" spans="1:2" x14ac:dyDescent="0.25">
      <c r="A44" s="2">
        <v>8</v>
      </c>
      <c r="B44" s="3">
        <f t="shared" si="0"/>
        <v>356</v>
      </c>
    </row>
    <row r="45" spans="1:2" x14ac:dyDescent="0.25">
      <c r="A45" s="2">
        <v>7</v>
      </c>
      <c r="B45" s="3">
        <f t="shared" si="0"/>
        <v>311.5</v>
      </c>
    </row>
    <row r="46" spans="1:2" x14ac:dyDescent="0.25">
      <c r="A46" s="2">
        <v>6</v>
      </c>
      <c r="B46" s="3">
        <f t="shared" si="0"/>
        <v>267</v>
      </c>
    </row>
    <row r="47" spans="1:2" x14ac:dyDescent="0.25">
      <c r="A47" s="2">
        <v>5</v>
      </c>
      <c r="B47" s="3">
        <f t="shared" si="0"/>
        <v>222.5</v>
      </c>
    </row>
    <row r="48" spans="1:2" x14ac:dyDescent="0.25">
      <c r="A48" s="2">
        <v>4</v>
      </c>
      <c r="B48" s="3">
        <f t="shared" si="0"/>
        <v>178</v>
      </c>
    </row>
    <row r="49" spans="1:2" x14ac:dyDescent="0.25">
      <c r="A49" s="2">
        <v>3</v>
      </c>
      <c r="B49" s="3">
        <f t="shared" si="0"/>
        <v>133.5</v>
      </c>
    </row>
    <row r="50" spans="1:2" x14ac:dyDescent="0.25">
      <c r="A50" s="2">
        <v>2</v>
      </c>
      <c r="B50" s="3">
        <f t="shared" si="0"/>
        <v>89</v>
      </c>
    </row>
    <row r="51" spans="1:2" x14ac:dyDescent="0.25">
      <c r="A51" s="2">
        <v>1</v>
      </c>
      <c r="B51" s="3">
        <f t="shared" si="0"/>
        <v>44.5</v>
      </c>
    </row>
    <row r="52" spans="1:2" x14ac:dyDescent="0.25">
      <c r="A5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F38A-7EE1-48D1-A946-905A8B388B0B}">
  <dimension ref="A1:H33"/>
  <sheetViews>
    <sheetView tabSelected="1" workbookViewId="0">
      <selection activeCell="E15" sqref="E15"/>
    </sheetView>
  </sheetViews>
  <sheetFormatPr defaultRowHeight="15" x14ac:dyDescent="0.25"/>
  <cols>
    <col min="1" max="1" width="30.5703125" customWidth="1"/>
    <col min="2" max="2" width="19.42578125" style="2" customWidth="1"/>
    <col min="15" max="15" width="16.28515625" customWidth="1"/>
    <col min="16" max="16" width="23.28515625" customWidth="1"/>
    <col min="17" max="17" width="39" customWidth="1"/>
  </cols>
  <sheetData>
    <row r="1" spans="1:2" x14ac:dyDescent="0.25">
      <c r="A1" t="s">
        <v>83</v>
      </c>
      <c r="B1" s="27">
        <f>Servers_per_cluster</f>
        <v>5</v>
      </c>
    </row>
    <row r="2" spans="1:2" x14ac:dyDescent="0.25">
      <c r="A2" t="s">
        <v>39</v>
      </c>
      <c r="B2" s="28">
        <f>Applications_Per_Cluster</f>
        <v>4</v>
      </c>
    </row>
    <row r="3" spans="1:2" x14ac:dyDescent="0.25">
      <c r="A3" t="s">
        <v>79</v>
      </c>
      <c r="B3" s="2">
        <v>100</v>
      </c>
    </row>
    <row r="4" spans="1:2" x14ac:dyDescent="0.25">
      <c r="A4" t="s">
        <v>26</v>
      </c>
      <c r="B4" s="2">
        <f>Total_Applications_over_5_years/Applications_Per_Cluster</f>
        <v>25</v>
      </c>
    </row>
    <row r="5" spans="1:2" x14ac:dyDescent="0.25">
      <c r="A5" t="s">
        <v>82</v>
      </c>
      <c r="B5" s="2">
        <v>2</v>
      </c>
    </row>
    <row r="6" spans="1:2" x14ac:dyDescent="0.25">
      <c r="A6" t="s">
        <v>81</v>
      </c>
      <c r="B6" s="2">
        <f>Server_Height_Units_B5*Server_per_Cluster</f>
        <v>10</v>
      </c>
    </row>
    <row r="7" spans="1:2" x14ac:dyDescent="0.25">
      <c r="A7" t="s">
        <v>84</v>
      </c>
      <c r="B7" s="2">
        <v>4</v>
      </c>
    </row>
    <row r="8" spans="1:2" x14ac:dyDescent="0.25">
      <c r="A8" t="s">
        <v>85</v>
      </c>
      <c r="B8" s="2">
        <f>Height_Units_HU__per_Cluster*Clusters_Per_Rack</f>
        <v>40</v>
      </c>
    </row>
    <row r="14" spans="1:2" x14ac:dyDescent="0.25">
      <c r="A14" t="s">
        <v>15</v>
      </c>
      <c r="B14" s="2">
        <v>2</v>
      </c>
    </row>
    <row r="15" spans="1:2" x14ac:dyDescent="0.25">
      <c r="A15" t="s">
        <v>16</v>
      </c>
      <c r="B15" s="2" t="s">
        <v>17</v>
      </c>
    </row>
    <row r="16" spans="1:2" x14ac:dyDescent="0.25">
      <c r="A16" s="7" t="s">
        <v>18</v>
      </c>
    </row>
    <row r="17" spans="1:3" x14ac:dyDescent="0.25">
      <c r="A17" t="s">
        <v>58</v>
      </c>
      <c r="B17" s="2">
        <v>512</v>
      </c>
      <c r="C17" t="s">
        <v>20</v>
      </c>
    </row>
    <row r="33" spans="1:8" x14ac:dyDescent="0.25">
      <c r="A33" s="17" t="s">
        <v>80</v>
      </c>
      <c r="B33" s="17"/>
      <c r="C33" s="17"/>
      <c r="D33" s="17"/>
      <c r="E33" s="17"/>
      <c r="F33" s="17"/>
      <c r="G33" s="17"/>
      <c r="H33" s="17"/>
    </row>
  </sheetData>
  <mergeCells count="1">
    <mergeCell ref="A33:H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B63B-81BF-4572-A1F8-76CF478C7201}">
  <dimension ref="A1:K26"/>
  <sheetViews>
    <sheetView workbookViewId="0">
      <selection activeCell="J19" sqref="J19"/>
    </sheetView>
  </sheetViews>
  <sheetFormatPr defaultRowHeight="15" x14ac:dyDescent="0.25"/>
  <cols>
    <col min="1" max="1" width="28.140625" style="2" customWidth="1"/>
    <col min="2" max="2" width="10.5703125" style="2" bestFit="1" customWidth="1"/>
    <col min="3" max="3" width="9.140625" style="2"/>
    <col min="4" max="4" width="11.7109375" style="2" customWidth="1"/>
    <col min="5" max="6" width="9.140625" style="2"/>
    <col min="7" max="7" width="32.140625" style="2" customWidth="1"/>
    <col min="8" max="8" width="35.42578125" style="2" customWidth="1"/>
    <col min="9" max="9" width="7.7109375" style="2" customWidth="1"/>
    <col min="10" max="10" width="36.5703125" customWidth="1"/>
  </cols>
  <sheetData>
    <row r="1" spans="1:11" ht="20.25" customHeight="1" x14ac:dyDescent="0.25">
      <c r="D1" s="6" t="s">
        <v>47</v>
      </c>
      <c r="E1" s="6"/>
      <c r="F1" s="4"/>
    </row>
    <row r="2" spans="1:11" s="5" customFormat="1" x14ac:dyDescent="0.25">
      <c r="A2" s="8"/>
      <c r="B2" s="8"/>
      <c r="C2" s="11" t="s">
        <v>36</v>
      </c>
      <c r="D2" s="11" t="s">
        <v>37</v>
      </c>
      <c r="E2" s="11" t="s">
        <v>38</v>
      </c>
      <c r="F2" s="11" t="s">
        <v>59</v>
      </c>
      <c r="G2" s="8"/>
      <c r="H2" s="8"/>
      <c r="I2" s="8"/>
    </row>
    <row r="3" spans="1:11" x14ac:dyDescent="0.25">
      <c r="A3" s="2" t="s">
        <v>39</v>
      </c>
      <c r="B3" s="9">
        <v>4</v>
      </c>
      <c r="J3" s="2" t="s">
        <v>46</v>
      </c>
      <c r="K3" s="9">
        <v>2</v>
      </c>
    </row>
    <row r="4" spans="1:11" x14ac:dyDescent="0.25">
      <c r="A4" s="2" t="s">
        <v>43</v>
      </c>
      <c r="B4" s="9">
        <v>10</v>
      </c>
      <c r="F4" s="15"/>
      <c r="J4" s="2" t="s">
        <v>51</v>
      </c>
      <c r="K4" s="12">
        <v>2</v>
      </c>
    </row>
    <row r="5" spans="1:11" ht="15.75" thickBot="1" x14ac:dyDescent="0.3">
      <c r="A5" s="2" t="s">
        <v>40</v>
      </c>
      <c r="B5" s="9">
        <v>2</v>
      </c>
      <c r="C5" s="9">
        <f>Load_Balanced_Web_Servers*CPU_PER_VM</f>
        <v>4</v>
      </c>
      <c r="D5" s="12">
        <v>8</v>
      </c>
      <c r="E5" s="12">
        <f>B5*D5</f>
        <v>16</v>
      </c>
      <c r="F5" s="15"/>
      <c r="J5" s="2"/>
      <c r="K5" s="2"/>
    </row>
    <row r="6" spans="1:11" ht="16.5" thickTop="1" thickBot="1" x14ac:dyDescent="0.3">
      <c r="A6" s="2" t="s">
        <v>41</v>
      </c>
      <c r="B6" s="9">
        <v>2</v>
      </c>
      <c r="C6" s="9">
        <f>Programme_Code_Servers*CPU_PER_VM</f>
        <v>4</v>
      </c>
      <c r="D6" s="12">
        <v>8</v>
      </c>
      <c r="E6" s="12">
        <f>B6*D6</f>
        <v>16</v>
      </c>
      <c r="F6" s="15"/>
      <c r="J6" s="2" t="s">
        <v>63</v>
      </c>
      <c r="K6" s="13"/>
    </row>
    <row r="7" spans="1:11" ht="15.75" thickTop="1" x14ac:dyDescent="0.25">
      <c r="A7" s="2" t="s">
        <v>45</v>
      </c>
      <c r="B7" s="9">
        <v>2</v>
      </c>
      <c r="C7" s="9">
        <f>Clustered_Database_Servers*CPU_PER_VM</f>
        <v>4</v>
      </c>
      <c r="D7" s="12">
        <v>64</v>
      </c>
      <c r="E7" s="12">
        <f t="shared" ref="E7:E9" si="0">B7*D7</f>
        <v>128</v>
      </c>
      <c r="F7" s="15"/>
      <c r="J7" s="2" t="s">
        <v>78</v>
      </c>
      <c r="K7" s="27"/>
    </row>
    <row r="8" spans="1:11" x14ac:dyDescent="0.25">
      <c r="A8" s="2" t="s">
        <v>42</v>
      </c>
      <c r="B8" s="9">
        <v>2</v>
      </c>
      <c r="C8" s="9">
        <f>AAA*CPU_PER_VM</f>
        <v>4</v>
      </c>
      <c r="D8" s="12">
        <v>4</v>
      </c>
      <c r="E8" s="12">
        <f t="shared" si="0"/>
        <v>8</v>
      </c>
      <c r="F8" s="15"/>
    </row>
    <row r="9" spans="1:11" x14ac:dyDescent="0.25">
      <c r="A9" s="2" t="s">
        <v>44</v>
      </c>
      <c r="B9" s="9">
        <v>2</v>
      </c>
      <c r="C9" s="9">
        <f>Logging_Servers*CPU_PER_VM</f>
        <v>4</v>
      </c>
      <c r="D9" s="12">
        <v>8</v>
      </c>
      <c r="E9" s="12">
        <f t="shared" si="0"/>
        <v>16</v>
      </c>
      <c r="F9" s="15"/>
    </row>
    <row r="10" spans="1:11" x14ac:dyDescent="0.25">
      <c r="A10" s="2" t="s">
        <v>48</v>
      </c>
      <c r="B10" s="9" t="s">
        <v>49</v>
      </c>
      <c r="F10" s="15"/>
    </row>
    <row r="11" spans="1:11" x14ac:dyDescent="0.25">
      <c r="A11" s="2" t="s">
        <v>50</v>
      </c>
      <c r="B11" s="9">
        <v>2</v>
      </c>
      <c r="F11" s="15"/>
    </row>
    <row r="12" spans="1:11" x14ac:dyDescent="0.25">
      <c r="F12" s="15"/>
    </row>
    <row r="13" spans="1:11" x14ac:dyDescent="0.25">
      <c r="A13" s="2" t="s">
        <v>54</v>
      </c>
      <c r="C13" s="14">
        <f>SUM(total_cpus)</f>
        <v>20</v>
      </c>
      <c r="E13" s="14">
        <f>SUM(total_memory_in_gb)</f>
        <v>184</v>
      </c>
      <c r="F13" s="14"/>
    </row>
    <row r="14" spans="1:11" x14ac:dyDescent="0.25">
      <c r="A14" s="2" t="s">
        <v>52</v>
      </c>
      <c r="C14" s="9">
        <v>2</v>
      </c>
      <c r="E14" s="9">
        <v>2</v>
      </c>
      <c r="F14" s="15"/>
    </row>
    <row r="15" spans="1:11" ht="15.75" thickBot="1" x14ac:dyDescent="0.3">
      <c r="A15" s="2" t="s">
        <v>55</v>
      </c>
      <c r="C15" s="14">
        <f>total_cpus_per_application*Margin</f>
        <v>40</v>
      </c>
      <c r="E15" s="14">
        <f>per_application*Margin</f>
        <v>368</v>
      </c>
      <c r="F15" s="14"/>
    </row>
    <row r="16" spans="1:11" ht="20.25" thickTop="1" thickBot="1" x14ac:dyDescent="0.35">
      <c r="A16" s="2" t="s">
        <v>53</v>
      </c>
      <c r="C16" s="10">
        <f>Applications_Per_Cluster*design_value</f>
        <v>160</v>
      </c>
      <c r="E16" s="10">
        <f>Total_Design_Value*Applications_Per_Cluster</f>
        <v>1472</v>
      </c>
      <c r="F16" s="2" t="s">
        <v>20</v>
      </c>
    </row>
    <row r="17" spans="1:6" ht="16.5" thickTop="1" thickBot="1" x14ac:dyDescent="0.3"/>
    <row r="18" spans="1:6" ht="20.25" thickTop="1" thickBot="1" x14ac:dyDescent="0.35">
      <c r="A18" s="2" t="s">
        <v>37</v>
      </c>
      <c r="C18" s="10">
        <f>ROUNDUP(Total_Cluster/Servers_per_cluster,0)</f>
        <v>32</v>
      </c>
      <c r="E18" s="10">
        <f>ROUNDUP(total_cluster_gb_Value/Servers_per_cluster,0)</f>
        <v>295</v>
      </c>
      <c r="F18" s="2" t="s">
        <v>60</v>
      </c>
    </row>
    <row r="19" spans="1:6" ht="15.75" thickTop="1" x14ac:dyDescent="0.25"/>
    <row r="21" spans="1:6" x14ac:dyDescent="0.25">
      <c r="A21" s="2" t="s">
        <v>56</v>
      </c>
      <c r="B21" s="9">
        <v>5</v>
      </c>
      <c r="C21" s="2" t="s">
        <v>65</v>
      </c>
    </row>
    <row r="22" spans="1:6" ht="15.75" thickBot="1" x14ac:dyDescent="0.3">
      <c r="A22" s="2" t="s">
        <v>57</v>
      </c>
      <c r="B22" s="9">
        <v>64</v>
      </c>
      <c r="C22" s="2" t="s">
        <v>20</v>
      </c>
    </row>
    <row r="23" spans="1:6" ht="20.25" thickTop="1" thickBot="1" x14ac:dyDescent="0.35">
      <c r="A23" s="2" t="s">
        <v>58</v>
      </c>
      <c r="B23" s="10">
        <f>ROUNDUP(min_dram_per_server/Size_of_DRAM,0)</f>
        <v>5</v>
      </c>
      <c r="C23" s="2" t="s">
        <v>64</v>
      </c>
      <c r="E23" s="2">
        <f>B23*Size_of_DRAM</f>
        <v>320</v>
      </c>
    </row>
    <row r="24" spans="1:6" ht="20.25" thickTop="1" thickBot="1" x14ac:dyDescent="0.35">
      <c r="A24" s="2" t="s">
        <v>61</v>
      </c>
      <c r="B24" s="10">
        <f>ROUNDUP(Total_Cluster/Servers_per_cluster,0)</f>
        <v>32</v>
      </c>
      <c r="C24" s="2" t="s">
        <v>36</v>
      </c>
    </row>
    <row r="25" spans="1:6" ht="20.25" thickTop="1" thickBot="1" x14ac:dyDescent="0.35">
      <c r="A25" s="2" t="s">
        <v>62</v>
      </c>
      <c r="B25" s="10">
        <f>ROUNDUP(total_cluster_gb_Value/Servers_per_cluster,0)</f>
        <v>295</v>
      </c>
      <c r="C25" s="2" t="s">
        <v>20</v>
      </c>
    </row>
    <row r="26" spans="1:6" ht="15.75" thickTop="1" x14ac:dyDescent="0.25"/>
  </sheetData>
  <mergeCells count="1">
    <mergeCell ref="D1:E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CFC5-1E59-4C4A-BA02-54C0B0D61180}">
  <dimension ref="A1:P8"/>
  <sheetViews>
    <sheetView workbookViewId="0">
      <pane ySplit="2" topLeftCell="A3" activePane="bottomLeft" state="frozen"/>
      <selection pane="bottomLeft" activeCell="A13" sqref="A13"/>
    </sheetView>
  </sheetViews>
  <sheetFormatPr defaultRowHeight="15" x14ac:dyDescent="0.25"/>
  <cols>
    <col min="1" max="1" width="24.140625" style="18" customWidth="1"/>
    <col min="2" max="2" width="9.140625" style="2"/>
    <col min="3" max="3" width="9.140625" style="16"/>
    <col min="4" max="4" width="9.140625" style="18"/>
    <col min="5" max="6" width="9.140625" style="16"/>
    <col min="7" max="7" width="11.7109375" style="18" customWidth="1"/>
    <col min="8" max="8" width="9.140625" style="2"/>
    <col min="9" max="9" width="12.42578125" style="2" customWidth="1"/>
    <col min="10" max="10" width="18.7109375" style="18" customWidth="1"/>
    <col min="11" max="11" width="9.140625" style="2"/>
    <col min="12" max="12" width="14" style="2" customWidth="1"/>
    <col min="13" max="13" width="19.42578125" style="18" customWidth="1"/>
    <col min="14" max="14" width="9.28515625" style="2" customWidth="1"/>
    <col min="15" max="15" width="9.140625" style="2"/>
    <col min="16" max="16" width="11.28515625" style="18" customWidth="1"/>
    <col min="17" max="16384" width="9.140625" style="2"/>
  </cols>
  <sheetData>
    <row r="1" spans="1:16" s="11" customFormat="1" x14ac:dyDescent="0.25">
      <c r="A1" s="19"/>
      <c r="C1" s="20" t="s">
        <v>67</v>
      </c>
      <c r="D1" s="21"/>
      <c r="E1" s="20" t="s">
        <v>69</v>
      </c>
      <c r="F1" s="20"/>
      <c r="G1" s="21"/>
      <c r="H1" s="22" t="s">
        <v>70</v>
      </c>
      <c r="I1" s="20"/>
      <c r="J1" s="21"/>
      <c r="K1" s="20" t="s">
        <v>71</v>
      </c>
      <c r="L1" s="20"/>
      <c r="M1" s="19"/>
      <c r="N1" s="22" t="s">
        <v>72</v>
      </c>
      <c r="O1" s="20"/>
      <c r="P1" s="21"/>
    </row>
    <row r="2" spans="1:16" s="4" customFormat="1" x14ac:dyDescent="0.25">
      <c r="A2" s="23"/>
      <c r="C2" s="24" t="s">
        <v>66</v>
      </c>
      <c r="D2" s="23" t="s">
        <v>68</v>
      </c>
      <c r="E2" s="24" t="s">
        <v>66</v>
      </c>
      <c r="F2" s="23" t="s">
        <v>68</v>
      </c>
      <c r="G2" s="23" t="s">
        <v>74</v>
      </c>
      <c r="H2" s="24" t="s">
        <v>66</v>
      </c>
      <c r="I2" s="25" t="s">
        <v>68</v>
      </c>
      <c r="J2" s="26" t="s">
        <v>74</v>
      </c>
      <c r="K2" s="24" t="s">
        <v>66</v>
      </c>
      <c r="L2" s="25" t="s">
        <v>68</v>
      </c>
      <c r="M2" s="26" t="s">
        <v>74</v>
      </c>
      <c r="N2" s="24" t="s">
        <v>66</v>
      </c>
      <c r="O2" s="25" t="s">
        <v>68</v>
      </c>
      <c r="P2" s="26" t="s">
        <v>74</v>
      </c>
    </row>
    <row r="3" spans="1:16" x14ac:dyDescent="0.25">
      <c r="A3" s="18" t="s">
        <v>43</v>
      </c>
      <c r="B3" s="2">
        <v>10</v>
      </c>
    </row>
    <row r="4" spans="1:16" x14ac:dyDescent="0.25">
      <c r="A4" s="18" t="s">
        <v>40</v>
      </c>
      <c r="B4" s="2">
        <v>2</v>
      </c>
      <c r="C4" s="16">
        <v>2</v>
      </c>
      <c r="D4" s="18">
        <v>250</v>
      </c>
    </row>
    <row r="5" spans="1:16" x14ac:dyDescent="0.25">
      <c r="A5" s="18" t="s">
        <v>41</v>
      </c>
      <c r="B5" s="2">
        <v>2</v>
      </c>
    </row>
    <row r="6" spans="1:16" x14ac:dyDescent="0.25">
      <c r="A6" s="18" t="s">
        <v>45</v>
      </c>
      <c r="B6" s="2">
        <v>2</v>
      </c>
      <c r="C6" s="16">
        <v>2</v>
      </c>
      <c r="D6" s="18">
        <v>250</v>
      </c>
      <c r="E6" s="16">
        <v>6</v>
      </c>
      <c r="F6" s="16">
        <v>500</v>
      </c>
      <c r="G6" s="18" t="s">
        <v>73</v>
      </c>
      <c r="H6" s="2">
        <v>2</v>
      </c>
      <c r="I6" s="2">
        <v>1000</v>
      </c>
      <c r="J6" s="18" t="s">
        <v>75</v>
      </c>
      <c r="K6" s="2">
        <v>10</v>
      </c>
      <c r="L6" s="2">
        <v>1000</v>
      </c>
      <c r="M6" s="18" t="s">
        <v>76</v>
      </c>
      <c r="N6" s="2">
        <v>10</v>
      </c>
      <c r="O6" s="2">
        <v>500</v>
      </c>
      <c r="P6" s="18" t="s">
        <v>77</v>
      </c>
    </row>
    <row r="7" spans="1:16" x14ac:dyDescent="0.25">
      <c r="A7" s="18" t="s">
        <v>42</v>
      </c>
      <c r="B7" s="2">
        <v>2</v>
      </c>
      <c r="C7" s="16">
        <v>2</v>
      </c>
      <c r="D7" s="18">
        <v>250</v>
      </c>
      <c r="N7" s="2">
        <v>3</v>
      </c>
      <c r="O7" s="2">
        <v>500</v>
      </c>
      <c r="P7" s="18" t="s">
        <v>77</v>
      </c>
    </row>
    <row r="8" spans="1:16" x14ac:dyDescent="0.25">
      <c r="A8" s="18" t="s">
        <v>44</v>
      </c>
      <c r="B8" s="2">
        <v>2</v>
      </c>
      <c r="E8" s="16">
        <v>6</v>
      </c>
      <c r="F8" s="16">
        <v>500</v>
      </c>
      <c r="G8" s="18" t="s">
        <v>73</v>
      </c>
      <c r="N8" s="2">
        <v>3</v>
      </c>
      <c r="O8" s="2">
        <v>500</v>
      </c>
      <c r="P8" s="18" t="s">
        <v>77</v>
      </c>
    </row>
  </sheetData>
  <mergeCells count="5">
    <mergeCell ref="C1:D1"/>
    <mergeCell ref="K1:L1"/>
    <mergeCell ref="E1:G1"/>
    <mergeCell ref="H1:J1"/>
    <mergeCell ref="N1:P1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30</vt:i4>
      </vt:variant>
    </vt:vector>
  </HeadingPairs>
  <TitlesOfParts>
    <vt:vector size="36" baseType="lpstr">
      <vt:lpstr>Macro(OLD)</vt:lpstr>
      <vt:lpstr>Storage(OLD)</vt:lpstr>
      <vt:lpstr>Sheet2</vt:lpstr>
      <vt:lpstr>Macro</vt:lpstr>
      <vt:lpstr>Compute</vt:lpstr>
      <vt:lpstr>Storage</vt:lpstr>
      <vt:lpstr>AAA</vt:lpstr>
      <vt:lpstr>Applications_Per_Cluster</vt:lpstr>
      <vt:lpstr>Cluster_over_5_years</vt:lpstr>
      <vt:lpstr>Clustered_Database_Servers</vt:lpstr>
      <vt:lpstr>Clusters_Per_Rack</vt:lpstr>
      <vt:lpstr>CPU_PER_VM</vt:lpstr>
      <vt:lpstr>CPUs_per_Server</vt:lpstr>
      <vt:lpstr>design_value</vt:lpstr>
      <vt:lpstr>Height_Units_HU__per_Cluster</vt:lpstr>
      <vt:lpstr>HU</vt:lpstr>
      <vt:lpstr>Load_Balanced_Web_Servers</vt:lpstr>
      <vt:lpstr>Logging_Servers</vt:lpstr>
      <vt:lpstr>Management_Clusters</vt:lpstr>
      <vt:lpstr>Margin</vt:lpstr>
      <vt:lpstr>min_dram_per_server</vt:lpstr>
      <vt:lpstr>per_application</vt:lpstr>
      <vt:lpstr>Programme_Code_Servers</vt:lpstr>
      <vt:lpstr>Server_Height_Units_B5</vt:lpstr>
      <vt:lpstr>Server_Height_Units_HU</vt:lpstr>
      <vt:lpstr>Server_per_Cluster</vt:lpstr>
      <vt:lpstr>Servers_per_cluster</vt:lpstr>
      <vt:lpstr>Size_of_DRAM</vt:lpstr>
      <vt:lpstr>Total_Applications_over_5_years</vt:lpstr>
      <vt:lpstr>Total_Cluster</vt:lpstr>
      <vt:lpstr>total_cluster_gb_Value</vt:lpstr>
      <vt:lpstr>total_cpus</vt:lpstr>
      <vt:lpstr>total_cpus_per_application</vt:lpstr>
      <vt:lpstr>Total_Design_Value</vt:lpstr>
      <vt:lpstr>total_memory_in_gb</vt:lpstr>
      <vt:lpstr>Virtual_Servers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Stewart - STUDENT</dc:creator>
  <cp:lastModifiedBy>Philip Stewart</cp:lastModifiedBy>
  <dcterms:created xsi:type="dcterms:W3CDTF">2025-07-04T12:08:25Z</dcterms:created>
  <dcterms:modified xsi:type="dcterms:W3CDTF">2025-07-09T12:02:47Z</dcterms:modified>
</cp:coreProperties>
</file>