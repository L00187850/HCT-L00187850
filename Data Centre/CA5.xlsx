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hilip\Downloads\"/>
    </mc:Choice>
  </mc:AlternateContent>
  <xr:revisionPtr revIDLastSave="0" documentId="13_ncr:1_{1AABF5F0-00D1-4883-A07C-0D2BE166DB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VM Application Profile" sheetId="2" r:id="rId2"/>
    <sheet name="Hardware Sizing" sheetId="3" r:id="rId3"/>
    <sheet name="Storage Requirements" sheetId="4" r:id="rId4"/>
    <sheet name="Network Design" sheetId="5" r:id="rId5"/>
    <sheet name="Replication &amp; AD Strateg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2" i="6"/>
  <c r="B4" i="6" s="1"/>
  <c r="C4" i="4"/>
  <c r="B4" i="4"/>
  <c r="D4" i="4" s="1"/>
  <c r="C3" i="4"/>
  <c r="B3" i="4"/>
  <c r="D3" i="4" s="1"/>
  <c r="C2" i="4"/>
  <c r="D2" i="4" s="1"/>
  <c r="B2" i="4"/>
  <c r="B3" i="3"/>
  <c r="B2" i="3"/>
  <c r="C6" i="2"/>
  <c r="D6" i="2" s="1"/>
  <c r="C5" i="2"/>
  <c r="D5" i="2" s="1"/>
  <c r="C4" i="2"/>
  <c r="D4" i="2" s="1"/>
  <c r="D3" i="2"/>
  <c r="C3" i="2"/>
  <c r="C2" i="2"/>
  <c r="D2" i="2" s="1"/>
  <c r="C2" i="3" l="1"/>
  <c r="E2" i="3" s="1"/>
  <c r="F2" i="3" s="1"/>
  <c r="C3" i="3"/>
  <c r="E3" i="3" s="1"/>
  <c r="F3" i="3" s="1"/>
  <c r="C2" i="5"/>
  <c r="B6" i="6"/>
  <c r="B5" i="6"/>
  <c r="C3" i="5" l="1"/>
  <c r="D3" i="5" s="1"/>
  <c r="D2" i="5"/>
  <c r="C4" i="5"/>
  <c r="D4" i="5" s="1"/>
</calcChain>
</file>

<file path=xl/sharedStrings.xml><?xml version="1.0" encoding="utf-8"?>
<sst xmlns="http://schemas.openxmlformats.org/spreadsheetml/2006/main" count="49" uniqueCount="42">
  <si>
    <t>Variable</t>
  </si>
  <si>
    <t>Value</t>
  </si>
  <si>
    <t>App Instances</t>
  </si>
  <si>
    <t>SSD Storage per App (TB)</t>
  </si>
  <si>
    <t>HDD Storage per App (TB)</t>
  </si>
  <si>
    <t>IOPS per App</t>
  </si>
  <si>
    <t>vCPU per VM</t>
  </si>
  <si>
    <t>RAM per VM (GB)</t>
  </si>
  <si>
    <t>VMs per App</t>
  </si>
  <si>
    <t>Remote Sites</t>
  </si>
  <si>
    <t>Replication per Site (GB/day)</t>
  </si>
  <si>
    <t>Component</t>
  </si>
  <si>
    <t>Count per App</t>
  </si>
  <si>
    <t>Number of Instances</t>
  </si>
  <si>
    <t>Total VMs</t>
  </si>
  <si>
    <t>Web Server</t>
  </si>
  <si>
    <t>Code Server</t>
  </si>
  <si>
    <t>DB Server</t>
  </si>
  <si>
    <t>AAA Server</t>
  </si>
  <si>
    <t>Logging Server</t>
  </si>
  <si>
    <t>Resource</t>
  </si>
  <si>
    <t>Per VM</t>
  </si>
  <si>
    <t>Per Cluster</t>
  </si>
  <si>
    <t>Clusters</t>
  </si>
  <si>
    <t>Total Resource</t>
  </si>
  <si>
    <t>vCPU</t>
  </si>
  <si>
    <t>RAM (GB)</t>
  </si>
  <si>
    <t>Storage Type</t>
  </si>
  <si>
    <t>Per App Instance (TB)</t>
  </si>
  <si>
    <t>Total (TB)</t>
  </si>
  <si>
    <t>SSD Tier</t>
  </si>
  <si>
    <t>HDD Tier</t>
  </si>
  <si>
    <t>IOPS</t>
  </si>
  <si>
    <t>VLAN Type</t>
  </si>
  <si>
    <t>Total Ports</t>
  </si>
  <si>
    <t>VM VLAN</t>
  </si>
  <si>
    <t>Storage VLAN</t>
  </si>
  <si>
    <t>Management VLAN</t>
  </si>
  <si>
    <t>Parameter</t>
  </si>
  <si>
    <t>Total Daily Replication (GB)</t>
  </si>
  <si>
    <t>Weekly Replication (GB)</t>
  </si>
  <si>
    <t>Monthly Replication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</si>
</sst>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24" sqref="D24"/>
    </sheetView>
  </sheetViews>
  <sheetFormatPr defaultRowHeight="15" x14ac:dyDescent="0.25"/>
  <cols>
    <col min="1" max="1" width="27.140625" bestFit="1" customWidth="1"/>
    <col min="2" max="2" width="6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0.78400000000000003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1800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60</v>
      </c>
    </row>
    <row r="10" spans="1:2" x14ac:dyDescent="0.25">
      <c r="A10" t="s">
        <v>10</v>
      </c>
      <c r="B10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16" sqref="C16"/>
    </sheetView>
  </sheetViews>
  <sheetFormatPr defaultRowHeight="15" x14ac:dyDescent="0.25"/>
  <cols>
    <col min="1" max="1" width="14" bestFit="1" customWidth="1"/>
    <col min="2" max="2" width="13.85546875" bestFit="1" customWidth="1"/>
    <col min="3" max="3" width="19.5703125" bestFit="1" customWidth="1"/>
    <col min="4" max="4" width="9.85546875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15</v>
      </c>
      <c r="B2">
        <v>2</v>
      </c>
      <c r="C2">
        <f>Config!B2</f>
        <v>10</v>
      </c>
      <c r="D2">
        <f>B2*C2</f>
        <v>20</v>
      </c>
    </row>
    <row r="3" spans="1:4" x14ac:dyDescent="0.25">
      <c r="A3" t="s">
        <v>16</v>
      </c>
      <c r="B3">
        <v>2</v>
      </c>
      <c r="C3">
        <f>Config!B2</f>
        <v>10</v>
      </c>
      <c r="D3">
        <f>B3*C3</f>
        <v>20</v>
      </c>
    </row>
    <row r="4" spans="1:4" x14ac:dyDescent="0.25">
      <c r="A4" t="s">
        <v>17</v>
      </c>
      <c r="B4">
        <v>2</v>
      </c>
      <c r="C4">
        <f>Config!B2</f>
        <v>10</v>
      </c>
      <c r="D4">
        <f>B4*C4</f>
        <v>20</v>
      </c>
    </row>
    <row r="5" spans="1:4" x14ac:dyDescent="0.25">
      <c r="A5" t="s">
        <v>18</v>
      </c>
      <c r="B5">
        <v>2</v>
      </c>
      <c r="C5">
        <f>Config!B2</f>
        <v>10</v>
      </c>
      <c r="D5">
        <f>B5*C5</f>
        <v>20</v>
      </c>
    </row>
    <row r="6" spans="1:4" x14ac:dyDescent="0.25">
      <c r="A6" t="s">
        <v>19</v>
      </c>
      <c r="B6">
        <v>2</v>
      </c>
      <c r="C6">
        <f>Config!B2</f>
        <v>10</v>
      </c>
      <c r="D6">
        <f>B6*C6</f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7.5703125" bestFit="1" customWidth="1"/>
    <col min="3" max="3" width="9.85546875" bestFit="1" customWidth="1"/>
    <col min="4" max="4" width="10.7109375" bestFit="1" customWidth="1"/>
    <col min="5" max="5" width="8.140625" bestFit="1" customWidth="1"/>
    <col min="6" max="6" width="14.140625" bestFit="1" customWidth="1"/>
  </cols>
  <sheetData>
    <row r="1" spans="1:6" x14ac:dyDescent="0.25">
      <c r="A1" s="1" t="s">
        <v>20</v>
      </c>
      <c r="B1" s="1" t="s">
        <v>21</v>
      </c>
      <c r="C1" s="1" t="s">
        <v>14</v>
      </c>
      <c r="D1" s="1" t="s">
        <v>22</v>
      </c>
      <c r="E1" s="1" t="s">
        <v>23</v>
      </c>
      <c r="F1" s="1" t="s">
        <v>24</v>
      </c>
    </row>
    <row r="2" spans="1:6" x14ac:dyDescent="0.25">
      <c r="A2" t="s">
        <v>25</v>
      </c>
      <c r="B2">
        <f>Config!B6</f>
        <v>2</v>
      </c>
      <c r="C2">
        <f>SUM('VM Application Profile'!D2:D6)</f>
        <v>100</v>
      </c>
      <c r="D2">
        <v>100</v>
      </c>
      <c r="E2">
        <f>CEILING(C2/D2,1)</f>
        <v>1</v>
      </c>
      <c r="F2">
        <f>D2*E2</f>
        <v>100</v>
      </c>
    </row>
    <row r="3" spans="1:6" x14ac:dyDescent="0.25">
      <c r="A3" t="s">
        <v>26</v>
      </c>
      <c r="B3">
        <f>Config!B7</f>
        <v>8</v>
      </c>
      <c r="C3">
        <f>SUM('VM Application Profile'!D2:D6)</f>
        <v>100</v>
      </c>
      <c r="D3">
        <v>256</v>
      </c>
      <c r="E3">
        <f>CEILING(C3/D3,1)</f>
        <v>1</v>
      </c>
      <c r="F3">
        <f>D3*E3</f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sqref="A1:XFD1048576"/>
    </sheetView>
  </sheetViews>
  <sheetFormatPr defaultRowHeight="15" x14ac:dyDescent="0.25"/>
  <cols>
    <col min="1" max="1" width="12.42578125" bestFit="1" customWidth="1"/>
    <col min="2" max="2" width="20.140625" bestFit="1" customWidth="1"/>
    <col min="3" max="3" width="13.42578125" bestFit="1" customWidth="1"/>
    <col min="4" max="4" width="9.42578125" bestFit="1" customWidth="1"/>
  </cols>
  <sheetData>
    <row r="1" spans="1:4" x14ac:dyDescent="0.25">
      <c r="A1" s="1" t="s">
        <v>27</v>
      </c>
      <c r="B1" s="1" t="s">
        <v>28</v>
      </c>
      <c r="C1" s="1" t="s">
        <v>2</v>
      </c>
      <c r="D1" s="1" t="s">
        <v>29</v>
      </c>
    </row>
    <row r="2" spans="1:4" x14ac:dyDescent="0.25">
      <c r="A2" t="s">
        <v>30</v>
      </c>
      <c r="B2">
        <f>Config!B3</f>
        <v>0.78400000000000003</v>
      </c>
      <c r="C2">
        <f>Config!B2</f>
        <v>10</v>
      </c>
      <c r="D2">
        <f>B2*C2</f>
        <v>7.84</v>
      </c>
    </row>
    <row r="3" spans="1:4" x14ac:dyDescent="0.25">
      <c r="A3" t="s">
        <v>31</v>
      </c>
      <c r="B3">
        <f>Config!B4</f>
        <v>2</v>
      </c>
      <c r="C3">
        <f>Config!B2</f>
        <v>10</v>
      </c>
      <c r="D3">
        <f>B3*C3</f>
        <v>20</v>
      </c>
    </row>
    <row r="4" spans="1:4" x14ac:dyDescent="0.25">
      <c r="A4" t="s">
        <v>32</v>
      </c>
      <c r="B4">
        <f>Config!B5</f>
        <v>1800</v>
      </c>
      <c r="C4">
        <f>Config!B2</f>
        <v>10</v>
      </c>
      <c r="D4">
        <f>B4*C4</f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sqref="A1:XFD1048576"/>
    </sheetView>
  </sheetViews>
  <sheetFormatPr defaultRowHeight="15" x14ac:dyDescent="0.25"/>
  <cols>
    <col min="1" max="1" width="18.28515625" bestFit="1" customWidth="1"/>
    <col min="2" max="2" width="10.7109375" bestFit="1" customWidth="1"/>
    <col min="3" max="3" width="8.140625" bestFit="1" customWidth="1"/>
    <col min="4" max="4" width="10.42578125" bestFit="1" customWidth="1"/>
  </cols>
  <sheetData>
    <row r="1" spans="1:4" x14ac:dyDescent="0.25">
      <c r="A1" s="1" t="s">
        <v>33</v>
      </c>
      <c r="B1" s="1" t="s">
        <v>22</v>
      </c>
      <c r="C1" s="1" t="s">
        <v>23</v>
      </c>
      <c r="D1" s="1" t="s">
        <v>34</v>
      </c>
    </row>
    <row r="2" spans="1:4" x14ac:dyDescent="0.25">
      <c r="A2" t="s">
        <v>35</v>
      </c>
      <c r="B2">
        <v>2</v>
      </c>
      <c r="C2">
        <f>CEILING('VM Application Profile'!D2*5/100,1)</f>
        <v>1</v>
      </c>
      <c r="D2">
        <f>B2*C2</f>
        <v>2</v>
      </c>
    </row>
    <row r="3" spans="1:4" x14ac:dyDescent="0.25">
      <c r="A3" t="s">
        <v>36</v>
      </c>
      <c r="B3">
        <v>2</v>
      </c>
      <c r="C3">
        <f>C2</f>
        <v>1</v>
      </c>
      <c r="D3">
        <f>B3*C3</f>
        <v>2</v>
      </c>
    </row>
    <row r="4" spans="1:4" x14ac:dyDescent="0.25">
      <c r="A4" t="s">
        <v>37</v>
      </c>
      <c r="B4">
        <v>1</v>
      </c>
      <c r="C4">
        <f>C2</f>
        <v>1</v>
      </c>
      <c r="D4">
        <f>B4*C4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sqref="A1:XFD1048576"/>
    </sheetView>
  </sheetViews>
  <sheetFormatPr defaultRowHeight="15" x14ac:dyDescent="0.25"/>
  <cols>
    <col min="1" max="1" width="27.140625" bestFit="1" customWidth="1"/>
    <col min="2" max="2" width="6.140625" bestFit="1" customWidth="1"/>
  </cols>
  <sheetData>
    <row r="1" spans="1:2" x14ac:dyDescent="0.25">
      <c r="A1" s="1" t="s">
        <v>38</v>
      </c>
      <c r="B1" s="1" t="s">
        <v>1</v>
      </c>
    </row>
    <row r="2" spans="1:2" x14ac:dyDescent="0.25">
      <c r="A2" t="s">
        <v>9</v>
      </c>
      <c r="B2">
        <f>Config!B9</f>
        <v>60</v>
      </c>
    </row>
    <row r="3" spans="1:2" x14ac:dyDescent="0.25">
      <c r="A3" t="s">
        <v>10</v>
      </c>
      <c r="B3">
        <f>Config!B10</f>
        <v>0.5</v>
      </c>
    </row>
    <row r="4" spans="1:2" x14ac:dyDescent="0.25">
      <c r="A4" t="s">
        <v>39</v>
      </c>
      <c r="B4">
        <f>B2*B3</f>
        <v>30</v>
      </c>
    </row>
    <row r="5" spans="1:2" x14ac:dyDescent="0.25">
      <c r="A5" t="s">
        <v>40</v>
      </c>
      <c r="B5">
        <f>B4*7</f>
        <v>210</v>
      </c>
    </row>
    <row r="6" spans="1:2" x14ac:dyDescent="0.25">
      <c r="A6" t="s">
        <v>41</v>
      </c>
      <c r="B6">
        <f>B4*30</f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VM Application Profile</vt:lpstr>
      <vt:lpstr>Hardware Sizing</vt:lpstr>
      <vt:lpstr>Storage Requirements</vt:lpstr>
      <vt:lpstr>Network Design</vt:lpstr>
      <vt:lpstr>Replication &amp; AD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Stewart - STUDENT</cp:lastModifiedBy>
  <dcterms:created xsi:type="dcterms:W3CDTF">2025-06-19T18:45:41Z</dcterms:created>
  <dcterms:modified xsi:type="dcterms:W3CDTF">2025-06-19T18:51:39Z</dcterms:modified>
</cp:coreProperties>
</file>