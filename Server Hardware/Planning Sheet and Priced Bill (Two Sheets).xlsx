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repos\Server-Hardware\Server Hardware\"/>
    </mc:Choice>
  </mc:AlternateContent>
  <xr:revisionPtr revIDLastSave="0" documentId="13_ncr:1_{5D2DF431-46E6-4B8E-9533-0E63F4412419}" xr6:coauthVersionLast="47" xr6:coauthVersionMax="47" xr10:uidLastSave="{00000000-0000-0000-0000-000000000000}"/>
  <bookViews>
    <workbookView xWindow="-120" yWindow="-120" windowWidth="29040" windowHeight="15720" activeTab="1" xr2:uid="{4E9A7CEC-CAFD-408F-9DCB-FF446C4CDB4B}"/>
  </bookViews>
  <sheets>
    <sheet name="Sheet1" sheetId="1" r:id="rId1"/>
    <sheet name="Sheet2" sheetId="2" r:id="rId2"/>
  </sheets>
  <definedNames>
    <definedName name="_xlnm._FilterDatabase" localSheetId="1" hidden="1">Sheet2!$A$1:$E$1</definedName>
    <definedName name="RU">Sheet1!$A$50</definedName>
    <definedName name="Unit_Price">Sheet2!$D$2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" l="1"/>
  <c r="D26" i="2"/>
  <c r="C26" i="2"/>
  <c r="C24" i="2"/>
  <c r="C25" i="2"/>
  <c r="G17" i="2"/>
  <c r="G6" i="2"/>
  <c r="F6" i="2"/>
  <c r="E6" i="2"/>
  <c r="D24" i="2"/>
  <c r="D25" i="2" s="1"/>
  <c r="E22" i="2"/>
  <c r="F22" i="2" s="1"/>
  <c r="E21" i="2"/>
  <c r="F21" i="2" s="1"/>
  <c r="E20" i="2"/>
  <c r="F20" i="2" s="1"/>
  <c r="E19" i="2"/>
  <c r="F19" i="2" s="1"/>
  <c r="E17" i="2"/>
  <c r="F17" i="2" s="1"/>
  <c r="E3" i="2"/>
  <c r="F3" i="2" s="1"/>
  <c r="E16" i="2"/>
  <c r="F16" i="2" s="1"/>
  <c r="E15" i="2"/>
  <c r="F15" i="2" s="1"/>
  <c r="E14" i="2"/>
  <c r="F14" i="2" s="1"/>
  <c r="E12" i="2"/>
  <c r="F12" i="2" s="1"/>
  <c r="E11" i="2"/>
  <c r="F11" i="2" s="1"/>
  <c r="E10" i="2"/>
  <c r="F10" i="2" s="1"/>
  <c r="E8" i="2"/>
  <c r="F8" i="2" s="1"/>
  <c r="E7" i="2"/>
  <c r="F7" i="2" s="1"/>
  <c r="E5" i="2"/>
  <c r="F5" i="2" s="1"/>
  <c r="E2" i="2"/>
  <c r="F2" i="2" s="1"/>
  <c r="E2" i="1"/>
  <c r="C2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F24" i="2" l="1"/>
  <c r="E26" i="2"/>
  <c r="G3" i="2"/>
  <c r="G16" i="2"/>
  <c r="G5" i="2"/>
  <c r="E24" i="2"/>
  <c r="E25" i="2" s="1"/>
  <c r="G7" i="2"/>
  <c r="G10" i="2"/>
  <c r="G14" i="2"/>
  <c r="G8" i="2"/>
  <c r="G19" i="2"/>
  <c r="G20" i="2"/>
  <c r="G11" i="2"/>
  <c r="G21" i="2"/>
  <c r="G2" i="2"/>
  <c r="G12" i="2"/>
  <c r="G22" i="2"/>
  <c r="G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</author>
  </authors>
  <commentList>
    <comment ref="D1" authorId="0" shapeId="0" xr:uid="{1E64A365-01FA-4F84-A1D2-667D577567B7}">
      <text>
        <r>
          <rPr>
            <sz val="9"/>
            <color indexed="81"/>
            <rFont val="Tahoma"/>
            <family val="2"/>
          </rPr>
          <t>https://www.cablemonkey.ie/ccs-4-compartment-colocation-server-cabinets/14090-47u-800mm-x-1000mm-4-compartment-colocation-server-rack.html#!/15-color-grey/313-locks-standard_key_lock/2114-cable_duct-with_cable_duct</t>
        </r>
      </text>
    </comment>
    <comment ref="C3" authorId="0" shapeId="0" xr:uid="{4A2C9363-F925-4C4A-8EC3-447B27044BA0}">
      <text>
        <r>
          <rPr>
            <b/>
            <sz val="9"/>
            <color indexed="81"/>
            <rFont val="Tahoma"/>
            <family val="2"/>
          </rPr>
          <t>https://www.reichelt.com/ie/en/shop/product/pdu_1ru_16_a_230_v_8_x_iec-333741?PROVID=2854&amp;gQT=1</t>
        </r>
      </text>
    </comment>
    <comment ref="E3" authorId="0" shapeId="0" xr:uid="{E89E1C9A-495A-4965-BE72-D05C6CCEFD80}">
      <text>
        <r>
          <rPr>
            <b/>
            <sz val="9"/>
            <color indexed="81"/>
            <rFont val="Tahoma"/>
            <family val="2"/>
          </rPr>
          <t>https://www.reichelt.com/ie/en/shop/product/pdu_1ru_16_a_230_v_8_x_iec-333741?PROVID=2854&amp;gQT=1</t>
        </r>
      </text>
    </comment>
    <comment ref="D5" authorId="0" shapeId="0" xr:uid="{385F1FE4-2A06-4514-AAC5-B7BB7CD337EE}">
      <text>
        <r>
          <rPr>
            <b/>
            <sz val="9"/>
            <color indexed="81"/>
            <rFont val="Tahoma"/>
            <family val="2"/>
          </rPr>
          <t>24 Port SFP+ 25GB
https://www.reichelt.com/ie/en/shop/product/switch_28-port_gigabit_ethernet_sfp-302650?PROVID=2854</t>
        </r>
      </text>
    </comment>
    <comment ref="F5" authorId="0" shapeId="0" xr:uid="{85E432A2-2399-4554-83B6-762E4969FA1A}">
      <text>
        <r>
          <rPr>
            <b/>
            <sz val="9"/>
            <color indexed="81"/>
            <rFont val="Tahoma"/>
            <family val="2"/>
          </rPr>
          <t xml:space="preserve">C15 is a standard used by Cisco. Since these are cisco switches the type of power cable is integral
</t>
        </r>
      </text>
    </comment>
    <comment ref="D7" authorId="0" shapeId="0" xr:uid="{5CBE0001-E6F0-4A47-9E05-42EF3FD4612A}">
      <text>
        <r>
          <rPr>
            <b/>
            <sz val="9"/>
            <color indexed="81"/>
            <rFont val="Tahoma"/>
            <family val="2"/>
          </rPr>
          <t>24 Port SFP+ 25GB
https://www.reichelt.com/ie/en/shop/product/switch_28-port_gigabit_ethernet_sfp-302650?PROVID=2854</t>
        </r>
      </text>
    </comment>
    <comment ref="F7" authorId="0" shapeId="0" xr:uid="{6E5919F9-E05D-456B-93B7-0F78D6F7C3F5}">
      <text>
        <r>
          <rPr>
            <b/>
            <sz val="9"/>
            <color indexed="81"/>
            <rFont val="Tahoma"/>
            <family val="2"/>
          </rPr>
          <t xml:space="preserve">C15 is a standard used by Cisco. Since these are cisco switches the type of power cable is integral
</t>
        </r>
      </text>
    </comment>
    <comment ref="D9" authorId="0" shapeId="0" xr:uid="{6F282D85-D708-4DF9-B3BB-29D939624FD2}">
      <text>
        <r>
          <rPr>
            <b/>
            <sz val="9"/>
            <color indexed="81"/>
            <rFont val="Tahoma"/>
            <family val="2"/>
          </rPr>
          <t>48 Port 1 GB RJ45 Ethernet connectors
https://it-planet.com/en/p/cisco-ws-c3650-48ps-s-1680.html?number=A1001733&amp;gQT=1</t>
        </r>
      </text>
    </comment>
    <comment ref="F9" authorId="0" shapeId="0" xr:uid="{38C95A12-B95B-4496-BB87-A6F03C0316B2}">
      <text>
        <r>
          <rPr>
            <b/>
            <sz val="9"/>
            <color indexed="81"/>
            <rFont val="Tahoma"/>
            <family val="2"/>
          </rPr>
          <t xml:space="preserve">C15 is a standard used by Cisco. Since these are cisco switches the type of power cable is integral
</t>
        </r>
      </text>
    </comment>
    <comment ref="D28" authorId="0" shapeId="0" xr:uid="{12104C2C-4FA0-454D-9412-6BC5B794A5C0}">
      <text>
        <r>
          <rPr>
            <b/>
            <sz val="9"/>
            <color indexed="81"/>
            <rFont val="Tahoma"/>
            <family val="2"/>
          </rPr>
          <t>https://www.senetic.ie/product/DS-72211-3GE?gQT=1</t>
        </r>
      </text>
    </comment>
    <comment ref="F39" authorId="0" shapeId="0" xr:uid="{14B41381-28D8-4B64-A3FC-16B4C3E8F313}">
      <text>
        <r>
          <rPr>
            <b/>
            <sz val="9"/>
            <color indexed="81"/>
            <rFont val="Tahoma"/>
            <family val="2"/>
          </rPr>
          <t xml:space="preserve">C15 is a standard used by Cisco. Since these are cisco switches the type of power cable is integral
</t>
        </r>
      </text>
    </comment>
    <comment ref="D42" authorId="0" shapeId="0" xr:uid="{68FD77DE-AD46-465F-B4D1-286D255670AC}">
      <text>
        <r>
          <rPr>
            <b/>
            <sz val="9"/>
            <color indexed="81"/>
            <rFont val="Tahoma"/>
            <family val="2"/>
          </rPr>
          <t xml:space="preserve">Used since the STS generates a lot of heat. Found at https://www.dell.com/en-ie/shop/apc-by-schneider-electric-cooling-fan-cabinet/apd/a7272591/power-cooling-data-center-infrastructure
</t>
        </r>
      </text>
    </comment>
    <comment ref="F42" authorId="0" shapeId="0" xr:uid="{2EB318F0-578C-4CBA-A61A-1D14BAE7D8F4}">
      <text>
        <r>
          <rPr>
            <b/>
            <sz val="9"/>
            <color indexed="81"/>
            <rFont val="Tahoma"/>
            <family val="2"/>
          </rPr>
          <t>Used to power exhaust fans</t>
        </r>
      </text>
    </comment>
    <comment ref="D43" authorId="0" shapeId="0" xr:uid="{EECA43C9-A525-4DBA-89C4-53AA04DFF0CD}">
      <text>
        <r>
          <rPr>
            <b/>
            <sz val="9"/>
            <color indexed="81"/>
            <rFont val="Tahoma"/>
            <family val="2"/>
          </rPr>
          <t>https://an-electronics.com/products/riello-sentinel-dual-uninterruptible-power-supply-ups-double-conversion-online-4-kva-3600-w-3-ac-outlets?variant=53857471234393&amp;country=IE&amp;currency=EUR&amp;utm_medium=product_sync&amp;utm_source=google&amp;utm_content=sag_organic&amp;utm_campaign=sag_organic&amp;gQT=1</t>
        </r>
      </text>
    </comment>
    <comment ref="D46" authorId="0" shapeId="0" xr:uid="{80728BC7-0E77-4774-9DBE-014F29020F4D}">
      <text>
        <r>
          <rPr>
            <b/>
            <sz val="9"/>
            <color indexed="81"/>
            <rFont val="Tahoma"/>
            <family val="2"/>
          </rPr>
          <t>https://an-electronics.com/products/riello-sentinel-dual-uninterruptible-power-supply-ups-double-conversion-online-4-kva-3600-w-3-ac-outlets?variant=53857471234393&amp;country=IE&amp;currency=EUR&amp;utm_medium=product_sync&amp;utm_source=google&amp;utm_content=sag_organic&amp;utm_campaign=sag_organic&amp;gQT=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</author>
  </authors>
  <commentList>
    <comment ref="E25" authorId="0" shapeId="0" xr:uid="{24E96A6B-BB25-4E81-89E1-54BB9F375927}">
      <text>
        <r>
          <rPr>
            <sz val="9"/>
            <color indexed="81"/>
            <rFont val="Tahoma"/>
            <family val="2"/>
          </rPr>
          <t xml:space="preserve">
1.23 is the cost of the item including irelands VAT rate at 23%</t>
        </r>
      </text>
    </comment>
  </commentList>
</comments>
</file>

<file path=xl/sharedStrings.xml><?xml version="1.0" encoding="utf-8"?>
<sst xmlns="http://schemas.openxmlformats.org/spreadsheetml/2006/main" count="85" uniqueCount="59">
  <si>
    <t>Cable Management</t>
  </si>
  <si>
    <t>Top of Rack Switch 1</t>
  </si>
  <si>
    <t>Top of Rack Switch 2</t>
  </si>
  <si>
    <t>Management Switch</t>
  </si>
  <si>
    <t>Plinth</t>
  </si>
  <si>
    <t>Dirty Power PDU</t>
  </si>
  <si>
    <t>Static Transfer Switch (STS)</t>
  </si>
  <si>
    <t>KVM Monitor &amp; Keyboard</t>
  </si>
  <si>
    <t>Reserved for Storage</t>
  </si>
  <si>
    <t>Server 2</t>
  </si>
  <si>
    <t>Server 1</t>
  </si>
  <si>
    <t>PDUA</t>
  </si>
  <si>
    <t>PDUB</t>
  </si>
  <si>
    <t>Server 3 (for later upgrades)</t>
  </si>
  <si>
    <t>4kW UPS</t>
  </si>
  <si>
    <t>Rack Unit</t>
  </si>
  <si>
    <t>Height (cm)</t>
  </si>
  <si>
    <t>Measured in Watts</t>
  </si>
  <si>
    <t>Blank Panel 1U (for Airflow)</t>
  </si>
  <si>
    <t>Blank Panel 1U (one 4U panel and three 1U panels)</t>
  </si>
  <si>
    <t>Rear Exhaust Fans</t>
  </si>
  <si>
    <t>Cables Needed</t>
  </si>
  <si>
    <t>x2 C15 Cable + 24 RJ45 CAT6</t>
  </si>
  <si>
    <t>KVM Monitor &amp; Keyboard (4U for the monitor)</t>
  </si>
  <si>
    <t xml:space="preserve">C14 Power Cable </t>
  </si>
  <si>
    <t xml:space="preserve">C15 Power Cable </t>
  </si>
  <si>
    <t>Link to Server Rack in notes</t>
  </si>
  <si>
    <t>x2 C15 Cable + 48 RJ45 CAT6</t>
  </si>
  <si>
    <t>Category</t>
  </si>
  <si>
    <t>Server Cabinets &amp; Cooling</t>
  </si>
  <si>
    <t>Servers</t>
  </si>
  <si>
    <t>Power Distribution</t>
  </si>
  <si>
    <t>Networking Equipment</t>
  </si>
  <si>
    <t>Cabling &amp; Accessories</t>
  </si>
  <si>
    <t>Item</t>
  </si>
  <si>
    <t>47U Colocation Server Cabinet</t>
  </si>
  <si>
    <t>Dell PowerEdge R740</t>
  </si>
  <si>
    <t>PDU 1RU 16A 230V</t>
  </si>
  <si>
    <t>Riello Sentinel Dual UPS 4kVA</t>
  </si>
  <si>
    <t>Quantity</t>
  </si>
  <si>
    <t>Unit Price</t>
  </si>
  <si>
    <t>Labour Costs</t>
  </si>
  <si>
    <t xml:space="preserve">APC Cooling Fan Cabinet  </t>
  </si>
  <si>
    <t>28-port Gigabit Ethernet Switch (4 management ports)</t>
  </si>
  <si>
    <t>Cisco WS-C3650-48PS-S Switch </t>
  </si>
  <si>
    <t xml:space="preserve">C14 Power Cables </t>
  </si>
  <si>
    <t xml:space="preserve">C15 Power Cables </t>
  </si>
  <si>
    <t xml:space="preserve">RJ45 CAT6 Cables </t>
  </si>
  <si>
    <t>Rack Installation and Cabling (in hours)</t>
  </si>
  <si>
    <t>Network configuration (in hours)</t>
  </si>
  <si>
    <t>Server Configuration (in hours)</t>
  </si>
  <si>
    <t>UPS installation &amp; testing (in hours)</t>
  </si>
  <si>
    <t>Totals</t>
  </si>
  <si>
    <t>Equipment &amp; Labour (before VAT)</t>
  </si>
  <si>
    <t>Equipment &amp; Labour (After VAT)</t>
  </si>
  <si>
    <t>Cost of VAT</t>
  </si>
  <si>
    <t>Total Item Cost After VAT</t>
  </si>
  <si>
    <t>Total Item Cost before VAT</t>
  </si>
  <si>
    <t>Equipment &amp; Labour with Additional Server included (After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</si>
</sst>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€&quot;#,##0;[Red]\-&quot;€&quot;#,##0"/>
    <numFmt numFmtId="8" formatCode="&quot;€&quot;#,##0.00;[Red]\-&quot;€&quot;#,##0.00"/>
  </numFmts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7" xfId="0" applyBorder="1" applyAlignment="1">
      <alignment vertical="center"/>
    </xf>
    <xf numFmtId="6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8" fontId="0" fillId="8" borderId="1" xfId="0" applyNumberFormat="1" applyFill="1" applyBorder="1" applyAlignment="1">
      <alignment horizontal="center"/>
    </xf>
    <xf numFmtId="6" fontId="0" fillId="0" borderId="0" xfId="0" applyNumberFormat="1" applyAlignment="1">
      <alignment horizontal="center"/>
    </xf>
    <xf numFmtId="8" fontId="3" fillId="4" borderId="0" xfId="0" applyNumberFormat="1" applyFont="1" applyFill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8" fontId="0" fillId="4" borderId="0" xfId="0" applyNumberFormat="1" applyFill="1" applyBorder="1" applyAlignment="1">
      <alignment horizontal="center"/>
    </xf>
    <xf numFmtId="8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D07C-AEA6-4282-93C4-E006BFE78B1C}">
  <sheetPr>
    <tabColor rgb="FF00B050"/>
  </sheetPr>
  <dimension ref="A1:F51"/>
  <sheetViews>
    <sheetView zoomScale="85" zoomScaleNormal="85" workbookViewId="0">
      <pane ySplit="1" topLeftCell="A2" activePane="bottomLeft" state="frozen"/>
      <selection pane="bottomLeft" activeCell="F27" sqref="F27"/>
    </sheetView>
  </sheetViews>
  <sheetFormatPr defaultRowHeight="15" x14ac:dyDescent="0.25"/>
  <cols>
    <col min="1" max="1" width="11.42578125" style="1" customWidth="1"/>
    <col min="2" max="2" width="9.140625" style="1"/>
    <col min="3" max="3" width="18.85546875" style="1" customWidth="1"/>
    <col min="4" max="4" width="51.85546875" customWidth="1"/>
    <col min="5" max="5" width="19.42578125" style="1" customWidth="1"/>
    <col min="6" max="6" width="32" customWidth="1"/>
  </cols>
  <sheetData>
    <row r="1" spans="1:6" s="10" customFormat="1" x14ac:dyDescent="0.25">
      <c r="A1" s="13" t="s">
        <v>16</v>
      </c>
      <c r="B1" s="14" t="s">
        <v>15</v>
      </c>
      <c r="C1" s="12" t="s">
        <v>17</v>
      </c>
      <c r="D1" s="10" t="s">
        <v>26</v>
      </c>
      <c r="E1" s="12" t="s">
        <v>17</v>
      </c>
      <c r="F1" s="13" t="s">
        <v>21</v>
      </c>
    </row>
    <row r="2" spans="1:6" x14ac:dyDescent="0.25">
      <c r="A2" s="14"/>
      <c r="B2" s="14"/>
      <c r="C2" s="1">
        <f>SUM(C3:C50)</f>
        <v>3180</v>
      </c>
      <c r="E2" s="1">
        <f>SUM(E3:E50)</f>
        <v>3180</v>
      </c>
      <c r="F2" s="9"/>
    </row>
    <row r="3" spans="1:6" x14ac:dyDescent="0.25">
      <c r="A3" s="14"/>
      <c r="B3" s="14"/>
      <c r="C3" s="1" t="s">
        <v>11</v>
      </c>
      <c r="E3" s="1" t="s">
        <v>12</v>
      </c>
      <c r="F3" s="9"/>
    </row>
    <row r="4" spans="1:6" x14ac:dyDescent="0.25">
      <c r="A4" s="14">
        <f t="shared" ref="A4:A49" si="0">RU*B4</f>
        <v>2091.5</v>
      </c>
      <c r="B4" s="14">
        <v>47</v>
      </c>
      <c r="D4" s="2" t="s">
        <v>0</v>
      </c>
      <c r="F4" s="9"/>
    </row>
    <row r="5" spans="1:6" x14ac:dyDescent="0.25">
      <c r="A5" s="14">
        <f t="shared" si="0"/>
        <v>2047</v>
      </c>
      <c r="B5" s="14">
        <v>46</v>
      </c>
      <c r="C5" s="1">
        <v>250</v>
      </c>
      <c r="D5" s="1" t="s">
        <v>1</v>
      </c>
      <c r="E5" s="1">
        <v>250</v>
      </c>
      <c r="F5" s="9" t="s">
        <v>22</v>
      </c>
    </row>
    <row r="6" spans="1:6" x14ac:dyDescent="0.25">
      <c r="A6" s="14">
        <f t="shared" si="0"/>
        <v>2002.5</v>
      </c>
      <c r="B6" s="14">
        <v>45</v>
      </c>
      <c r="D6" s="2" t="s">
        <v>0</v>
      </c>
      <c r="F6" s="9"/>
    </row>
    <row r="7" spans="1:6" x14ac:dyDescent="0.25">
      <c r="A7" s="14">
        <f t="shared" si="0"/>
        <v>1958</v>
      </c>
      <c r="B7" s="14">
        <v>44</v>
      </c>
      <c r="C7" s="1">
        <v>250</v>
      </c>
      <c r="D7" s="1" t="s">
        <v>2</v>
      </c>
      <c r="E7" s="1">
        <v>250</v>
      </c>
      <c r="F7" s="9" t="s">
        <v>22</v>
      </c>
    </row>
    <row r="8" spans="1:6" x14ac:dyDescent="0.25">
      <c r="A8" s="14">
        <f t="shared" si="0"/>
        <v>1913.5</v>
      </c>
      <c r="B8" s="14">
        <v>43</v>
      </c>
      <c r="D8" s="2" t="s">
        <v>0</v>
      </c>
      <c r="F8" s="9"/>
    </row>
    <row r="9" spans="1:6" x14ac:dyDescent="0.25">
      <c r="A9" s="14">
        <f t="shared" si="0"/>
        <v>1869</v>
      </c>
      <c r="B9" s="14">
        <v>42</v>
      </c>
      <c r="C9" s="1">
        <v>250</v>
      </c>
      <c r="D9" s="1" t="s">
        <v>3</v>
      </c>
      <c r="E9" s="1">
        <v>250</v>
      </c>
      <c r="F9" s="9" t="s">
        <v>27</v>
      </c>
    </row>
    <row r="10" spans="1:6" x14ac:dyDescent="0.25">
      <c r="A10" s="14">
        <f t="shared" si="0"/>
        <v>1824.5</v>
      </c>
      <c r="B10" s="14">
        <v>41</v>
      </c>
      <c r="D10" s="2" t="s">
        <v>0</v>
      </c>
      <c r="F10" s="9"/>
    </row>
    <row r="11" spans="1:6" x14ac:dyDescent="0.25">
      <c r="A11" s="14">
        <f t="shared" si="0"/>
        <v>1780</v>
      </c>
      <c r="B11" s="14">
        <v>40</v>
      </c>
      <c r="D11" s="27" t="s">
        <v>19</v>
      </c>
      <c r="F11" s="9"/>
    </row>
    <row r="12" spans="1:6" x14ac:dyDescent="0.25">
      <c r="A12" s="14">
        <f t="shared" si="0"/>
        <v>1735.5</v>
      </c>
      <c r="B12" s="14">
        <v>39</v>
      </c>
      <c r="D12" s="28"/>
      <c r="F12" s="9"/>
    </row>
    <row r="13" spans="1:6" x14ac:dyDescent="0.25">
      <c r="A13" s="14">
        <f t="shared" si="0"/>
        <v>1691</v>
      </c>
      <c r="B13" s="14">
        <v>38</v>
      </c>
      <c r="D13" s="28"/>
      <c r="F13" s="9"/>
    </row>
    <row r="14" spans="1:6" x14ac:dyDescent="0.25">
      <c r="A14" s="14">
        <f t="shared" si="0"/>
        <v>1646.5</v>
      </c>
      <c r="B14" s="14">
        <v>37</v>
      </c>
      <c r="D14" s="28"/>
      <c r="F14" s="9"/>
    </row>
    <row r="15" spans="1:6" x14ac:dyDescent="0.25">
      <c r="A15" s="14">
        <f t="shared" si="0"/>
        <v>1602</v>
      </c>
      <c r="B15" s="14">
        <v>36</v>
      </c>
      <c r="D15" s="28"/>
      <c r="F15" s="9"/>
    </row>
    <row r="16" spans="1:6" x14ac:dyDescent="0.25">
      <c r="A16" s="14">
        <f t="shared" si="0"/>
        <v>1557.5</v>
      </c>
      <c r="B16" s="14">
        <v>35</v>
      </c>
      <c r="D16" s="28"/>
      <c r="F16" s="9"/>
    </row>
    <row r="17" spans="1:6" x14ac:dyDescent="0.25">
      <c r="A17" s="14">
        <f t="shared" si="0"/>
        <v>1513</v>
      </c>
      <c r="B17" s="14">
        <v>34</v>
      </c>
      <c r="D17" s="29"/>
      <c r="F17" s="9"/>
    </row>
    <row r="18" spans="1:6" x14ac:dyDescent="0.25">
      <c r="A18" s="14">
        <f t="shared" si="0"/>
        <v>1468.5</v>
      </c>
      <c r="B18" s="14">
        <v>33</v>
      </c>
      <c r="C18" s="23">
        <v>700</v>
      </c>
      <c r="D18" s="24" t="s">
        <v>10</v>
      </c>
      <c r="E18" s="26">
        <v>700</v>
      </c>
      <c r="F18" s="22" t="s">
        <v>24</v>
      </c>
    </row>
    <row r="19" spans="1:6" x14ac:dyDescent="0.25">
      <c r="A19" s="14">
        <f t="shared" si="0"/>
        <v>1424</v>
      </c>
      <c r="B19" s="14">
        <v>32</v>
      </c>
      <c r="C19" s="23"/>
      <c r="D19" s="25"/>
      <c r="E19" s="26"/>
      <c r="F19" s="22"/>
    </row>
    <row r="20" spans="1:6" x14ac:dyDescent="0.25">
      <c r="A20" s="14">
        <f t="shared" si="0"/>
        <v>1379.5</v>
      </c>
      <c r="B20" s="14">
        <v>31</v>
      </c>
      <c r="D20" s="7" t="s">
        <v>18</v>
      </c>
      <c r="F20" s="9"/>
    </row>
    <row r="21" spans="1:6" x14ac:dyDescent="0.25">
      <c r="A21" s="14">
        <f t="shared" si="0"/>
        <v>1335</v>
      </c>
      <c r="B21" s="14">
        <v>30</v>
      </c>
      <c r="C21" s="23">
        <v>700</v>
      </c>
      <c r="D21" s="24" t="s">
        <v>9</v>
      </c>
      <c r="E21" s="26">
        <v>700</v>
      </c>
      <c r="F21" s="22" t="s">
        <v>24</v>
      </c>
    </row>
    <row r="22" spans="1:6" x14ac:dyDescent="0.25">
      <c r="A22" s="14">
        <f t="shared" si="0"/>
        <v>1290.5</v>
      </c>
      <c r="B22" s="14">
        <v>29</v>
      </c>
      <c r="C22" s="23"/>
      <c r="D22" s="25"/>
      <c r="E22" s="26"/>
      <c r="F22" s="22"/>
    </row>
    <row r="23" spans="1:6" x14ac:dyDescent="0.25">
      <c r="A23" s="14">
        <f t="shared" si="0"/>
        <v>1246</v>
      </c>
      <c r="B23" s="14">
        <v>28</v>
      </c>
      <c r="D23" s="7" t="s">
        <v>18</v>
      </c>
      <c r="F23" s="9"/>
    </row>
    <row r="24" spans="1:6" x14ac:dyDescent="0.25">
      <c r="A24" s="14">
        <f t="shared" si="0"/>
        <v>1201.5</v>
      </c>
      <c r="B24" s="14">
        <v>27</v>
      </c>
      <c r="C24" s="22">
        <v>700</v>
      </c>
      <c r="D24" s="24" t="s">
        <v>13</v>
      </c>
      <c r="E24" s="26">
        <v>700</v>
      </c>
      <c r="F24" s="22" t="s">
        <v>24</v>
      </c>
    </row>
    <row r="25" spans="1:6" x14ac:dyDescent="0.25">
      <c r="A25" s="14">
        <f t="shared" si="0"/>
        <v>1157</v>
      </c>
      <c r="B25" s="14">
        <v>26</v>
      </c>
      <c r="C25" s="22"/>
      <c r="D25" s="25"/>
      <c r="E25" s="26"/>
      <c r="F25" s="22"/>
    </row>
    <row r="26" spans="1:6" x14ac:dyDescent="0.25">
      <c r="A26" s="14">
        <f t="shared" si="0"/>
        <v>1112.5</v>
      </c>
      <c r="B26" s="14">
        <v>25</v>
      </c>
      <c r="F26" s="9"/>
    </row>
    <row r="27" spans="1:6" x14ac:dyDescent="0.25">
      <c r="A27" s="14">
        <f t="shared" si="0"/>
        <v>1068</v>
      </c>
      <c r="B27" s="14">
        <v>24</v>
      </c>
      <c r="F27" s="9"/>
    </row>
    <row r="28" spans="1:6" x14ac:dyDescent="0.25">
      <c r="A28" s="14">
        <f t="shared" si="0"/>
        <v>1023.5</v>
      </c>
      <c r="B28" s="14">
        <v>23</v>
      </c>
      <c r="C28" s="23">
        <v>30</v>
      </c>
      <c r="D28" s="30" t="s">
        <v>23</v>
      </c>
      <c r="E28" s="23">
        <v>30</v>
      </c>
      <c r="F28" s="22" t="s">
        <v>24</v>
      </c>
    </row>
    <row r="29" spans="1:6" x14ac:dyDescent="0.25">
      <c r="A29" s="14">
        <f t="shared" si="0"/>
        <v>979</v>
      </c>
      <c r="B29" s="14">
        <v>22</v>
      </c>
      <c r="C29" s="23"/>
      <c r="D29" s="30"/>
      <c r="E29" s="23"/>
      <c r="F29" s="22"/>
    </row>
    <row r="30" spans="1:6" x14ac:dyDescent="0.25">
      <c r="A30" s="14">
        <f t="shared" si="0"/>
        <v>934.5</v>
      </c>
      <c r="B30" s="14">
        <v>21</v>
      </c>
      <c r="C30" s="23"/>
      <c r="D30" s="30"/>
      <c r="E30" s="23"/>
      <c r="F30" s="22"/>
    </row>
    <row r="31" spans="1:6" x14ac:dyDescent="0.25">
      <c r="A31" s="14">
        <f t="shared" si="0"/>
        <v>890</v>
      </c>
      <c r="B31" s="14">
        <v>20</v>
      </c>
      <c r="C31" s="23"/>
      <c r="D31" s="30"/>
      <c r="E31" s="23"/>
      <c r="F31" s="22"/>
    </row>
    <row r="32" spans="1:6" x14ac:dyDescent="0.25">
      <c r="A32" s="14">
        <f t="shared" si="0"/>
        <v>845.5</v>
      </c>
      <c r="B32" s="14">
        <v>19</v>
      </c>
      <c r="D32" s="30" t="s">
        <v>8</v>
      </c>
      <c r="F32" s="9"/>
    </row>
    <row r="33" spans="1:6" x14ac:dyDescent="0.25">
      <c r="A33" s="14">
        <f t="shared" si="0"/>
        <v>801</v>
      </c>
      <c r="B33" s="14">
        <v>18</v>
      </c>
      <c r="D33" s="30"/>
      <c r="F33" s="9"/>
    </row>
    <row r="34" spans="1:6" x14ac:dyDescent="0.25">
      <c r="A34" s="14">
        <f t="shared" si="0"/>
        <v>756.5</v>
      </c>
      <c r="B34" s="14">
        <v>17</v>
      </c>
      <c r="D34" s="30"/>
      <c r="F34" s="9"/>
    </row>
    <row r="35" spans="1:6" x14ac:dyDescent="0.25">
      <c r="A35" s="14">
        <f t="shared" si="0"/>
        <v>712</v>
      </c>
      <c r="B35" s="14">
        <v>16</v>
      </c>
      <c r="D35" s="30"/>
      <c r="F35" s="9"/>
    </row>
    <row r="36" spans="1:6" x14ac:dyDescent="0.25">
      <c r="A36" s="14">
        <f t="shared" si="0"/>
        <v>667.5</v>
      </c>
      <c r="B36" s="14">
        <v>15</v>
      </c>
      <c r="D36" s="30"/>
      <c r="F36" s="9"/>
    </row>
    <row r="37" spans="1:6" x14ac:dyDescent="0.25">
      <c r="A37" s="14">
        <f t="shared" si="0"/>
        <v>623</v>
      </c>
      <c r="B37" s="14">
        <v>14</v>
      </c>
      <c r="D37" s="30"/>
      <c r="F37" s="9"/>
    </row>
    <row r="38" spans="1:6" x14ac:dyDescent="0.25">
      <c r="A38" s="14">
        <f t="shared" si="0"/>
        <v>578.5</v>
      </c>
      <c r="B38" s="14">
        <v>13</v>
      </c>
      <c r="D38" s="30"/>
      <c r="F38" s="9"/>
    </row>
    <row r="39" spans="1:6" x14ac:dyDescent="0.25">
      <c r="A39" s="14">
        <f t="shared" si="0"/>
        <v>534</v>
      </c>
      <c r="B39" s="14">
        <v>12</v>
      </c>
      <c r="C39" s="23">
        <v>250</v>
      </c>
      <c r="D39" s="31" t="s">
        <v>6</v>
      </c>
      <c r="E39" s="26">
        <v>250</v>
      </c>
      <c r="F39" s="22" t="s">
        <v>25</v>
      </c>
    </row>
    <row r="40" spans="1:6" x14ac:dyDescent="0.25">
      <c r="A40" s="14">
        <f t="shared" si="0"/>
        <v>489.5</v>
      </c>
      <c r="B40" s="14">
        <v>11</v>
      </c>
      <c r="C40" s="23"/>
      <c r="D40" s="31"/>
      <c r="E40" s="26"/>
      <c r="F40" s="22"/>
    </row>
    <row r="41" spans="1:6" x14ac:dyDescent="0.25">
      <c r="A41" s="14">
        <f t="shared" si="0"/>
        <v>445</v>
      </c>
      <c r="B41" s="14">
        <v>10</v>
      </c>
      <c r="C41" s="23"/>
      <c r="D41" s="31"/>
      <c r="E41" s="26"/>
      <c r="F41" s="22"/>
    </row>
    <row r="42" spans="1:6" x14ac:dyDescent="0.25">
      <c r="A42" s="14">
        <f t="shared" si="0"/>
        <v>400.5</v>
      </c>
      <c r="B42" s="14">
        <v>9</v>
      </c>
      <c r="C42" s="3">
        <v>50</v>
      </c>
      <c r="D42" s="8" t="s">
        <v>20</v>
      </c>
      <c r="E42" s="3">
        <v>50</v>
      </c>
      <c r="F42" s="5" t="s">
        <v>24</v>
      </c>
    </row>
    <row r="43" spans="1:6" x14ac:dyDescent="0.25">
      <c r="A43" s="14">
        <f t="shared" si="0"/>
        <v>356</v>
      </c>
      <c r="B43" s="14">
        <v>8</v>
      </c>
      <c r="D43" s="34" t="s">
        <v>14</v>
      </c>
      <c r="F43" s="16"/>
    </row>
    <row r="44" spans="1:6" x14ac:dyDescent="0.25">
      <c r="A44" s="14">
        <f t="shared" si="0"/>
        <v>311.5</v>
      </c>
      <c r="B44" s="14">
        <v>7</v>
      </c>
      <c r="D44" s="34"/>
      <c r="F44" s="9"/>
    </row>
    <row r="45" spans="1:6" x14ac:dyDescent="0.25">
      <c r="A45" s="14">
        <f t="shared" si="0"/>
        <v>267</v>
      </c>
      <c r="B45" s="14">
        <v>6</v>
      </c>
      <c r="D45" s="33"/>
      <c r="F45" s="9"/>
    </row>
    <row r="46" spans="1:6" x14ac:dyDescent="0.25">
      <c r="A46" s="14">
        <f t="shared" si="0"/>
        <v>222.5</v>
      </c>
      <c r="B46" s="14">
        <v>5</v>
      </c>
      <c r="D46" s="34" t="s">
        <v>14</v>
      </c>
      <c r="F46" s="9"/>
    </row>
    <row r="47" spans="1:6" x14ac:dyDescent="0.25">
      <c r="A47" s="14">
        <f t="shared" si="0"/>
        <v>178</v>
      </c>
      <c r="B47" s="14">
        <v>4</v>
      </c>
      <c r="D47" s="34"/>
      <c r="F47" s="9"/>
    </row>
    <row r="48" spans="1:6" x14ac:dyDescent="0.25">
      <c r="A48" s="14">
        <f t="shared" si="0"/>
        <v>133.5</v>
      </c>
      <c r="B48" s="14">
        <v>3</v>
      </c>
      <c r="D48" s="33"/>
      <c r="F48" s="9"/>
    </row>
    <row r="49" spans="1:6" x14ac:dyDescent="0.25">
      <c r="A49" s="14">
        <f t="shared" si="0"/>
        <v>89</v>
      </c>
      <c r="B49" s="14">
        <v>2</v>
      </c>
      <c r="D49" s="32" t="s">
        <v>5</v>
      </c>
      <c r="F49" s="9"/>
    </row>
    <row r="50" spans="1:6" x14ac:dyDescent="0.25">
      <c r="A50" s="14">
        <v>44.5</v>
      </c>
      <c r="B50" s="14">
        <v>1</v>
      </c>
      <c r="D50" s="33"/>
      <c r="F50" s="9"/>
    </row>
    <row r="51" spans="1:6" s="10" customFormat="1" x14ac:dyDescent="0.25">
      <c r="A51" s="13">
        <v>0</v>
      </c>
      <c r="B51" s="13">
        <v>0</v>
      </c>
      <c r="C51" s="12"/>
      <c r="D51" s="15" t="s">
        <v>4</v>
      </c>
      <c r="E51" s="12"/>
      <c r="F51" s="11"/>
    </row>
  </sheetData>
  <mergeCells count="25">
    <mergeCell ref="D49:D50"/>
    <mergeCell ref="D46:D48"/>
    <mergeCell ref="D43:D45"/>
    <mergeCell ref="D21:D22"/>
    <mergeCell ref="D11:D17"/>
    <mergeCell ref="D28:D31"/>
    <mergeCell ref="E28:E31"/>
    <mergeCell ref="C28:C31"/>
    <mergeCell ref="D32:D38"/>
    <mergeCell ref="D18:D19"/>
    <mergeCell ref="E18:E19"/>
    <mergeCell ref="C24:C25"/>
    <mergeCell ref="C18:C19"/>
    <mergeCell ref="C21:C22"/>
    <mergeCell ref="E21:E22"/>
    <mergeCell ref="F39:F41"/>
    <mergeCell ref="C39:C41"/>
    <mergeCell ref="F18:F19"/>
    <mergeCell ref="F21:F22"/>
    <mergeCell ref="D24:D25"/>
    <mergeCell ref="E24:E25"/>
    <mergeCell ref="F24:F25"/>
    <mergeCell ref="F28:F31"/>
    <mergeCell ref="D39:D41"/>
    <mergeCell ref="E39:E4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141C-B4E3-4D7C-B716-52FD78F038ED}">
  <sheetPr>
    <tabColor theme="3" tint="0.749992370372631"/>
  </sheetPr>
  <dimension ref="A1:G31"/>
  <sheetViews>
    <sheetView tabSelected="1" workbookViewId="0">
      <pane ySplit="1" topLeftCell="A2" activePane="bottomLeft" state="frozen"/>
      <selection pane="bottomLeft" activeCell="G30" sqref="G30:G31"/>
    </sheetView>
  </sheetViews>
  <sheetFormatPr defaultRowHeight="15" x14ac:dyDescent="0.25"/>
  <cols>
    <col min="1" max="1" width="38.5703125" customWidth="1"/>
    <col min="2" max="2" width="59" customWidth="1"/>
    <col min="3" max="3" width="18.140625" style="1" customWidth="1"/>
    <col min="4" max="4" width="15.140625" style="1" customWidth="1"/>
    <col min="5" max="5" width="27.5703125" style="1" customWidth="1"/>
    <col min="6" max="6" width="14.7109375" customWidth="1"/>
    <col min="7" max="7" width="25.7109375" customWidth="1"/>
  </cols>
  <sheetData>
    <row r="1" spans="1:7" x14ac:dyDescent="0.25">
      <c r="A1" s="6" t="s">
        <v>28</v>
      </c>
      <c r="B1" s="6" t="s">
        <v>34</v>
      </c>
      <c r="C1" s="4" t="s">
        <v>39</v>
      </c>
      <c r="D1" s="4" t="s">
        <v>40</v>
      </c>
      <c r="E1" s="4" t="s">
        <v>57</v>
      </c>
      <c r="F1" s="4" t="s">
        <v>55</v>
      </c>
      <c r="G1" s="4" t="s">
        <v>56</v>
      </c>
    </row>
    <row r="2" spans="1:7" x14ac:dyDescent="0.25">
      <c r="A2" s="4" t="s">
        <v>29</v>
      </c>
      <c r="B2" s="4" t="s">
        <v>35</v>
      </c>
      <c r="C2" s="4">
        <v>1</v>
      </c>
      <c r="D2" s="17">
        <v>1399</v>
      </c>
      <c r="E2" s="17">
        <f>SUM(D2*C2)</f>
        <v>1399</v>
      </c>
      <c r="F2" s="18">
        <f>SUM(E2 *0.23)</f>
        <v>321.77000000000004</v>
      </c>
      <c r="G2" s="18">
        <f>SUM(E2+F2)</f>
        <v>1720.77</v>
      </c>
    </row>
    <row r="3" spans="1:7" x14ac:dyDescent="0.25">
      <c r="A3" s="4" t="s">
        <v>29</v>
      </c>
      <c r="B3" s="4" t="s">
        <v>42</v>
      </c>
      <c r="C3" s="4">
        <v>1</v>
      </c>
      <c r="D3" s="17">
        <v>1299</v>
      </c>
      <c r="E3" s="17">
        <f>SUM(C3*D3)</f>
        <v>1299</v>
      </c>
      <c r="F3" s="18">
        <f t="shared" ref="F3:F22" si="0">SUM(E3 *0.23)</f>
        <v>298.77000000000004</v>
      </c>
      <c r="G3" s="18">
        <f t="shared" ref="G3:G22" si="1">SUM(E3+F3)</f>
        <v>1597.77</v>
      </c>
    </row>
    <row r="4" spans="1:7" x14ac:dyDescent="0.25">
      <c r="A4" s="4"/>
      <c r="B4" s="4"/>
      <c r="C4" s="4"/>
      <c r="D4" s="17"/>
      <c r="E4" s="17"/>
      <c r="F4" s="18"/>
      <c r="G4" s="18"/>
    </row>
    <row r="5" spans="1:7" x14ac:dyDescent="0.25">
      <c r="A5" s="4" t="s">
        <v>30</v>
      </c>
      <c r="B5" s="4" t="s">
        <v>36</v>
      </c>
      <c r="C5" s="4">
        <v>2</v>
      </c>
      <c r="D5" s="17">
        <v>5499</v>
      </c>
      <c r="E5" s="17">
        <f>SUM(C5*D5)</f>
        <v>10998</v>
      </c>
      <c r="F5" s="18">
        <f t="shared" si="0"/>
        <v>2529.54</v>
      </c>
      <c r="G5" s="18">
        <f t="shared" si="1"/>
        <v>13527.54</v>
      </c>
    </row>
    <row r="6" spans="1:7" x14ac:dyDescent="0.25">
      <c r="A6" s="4" t="s">
        <v>30</v>
      </c>
      <c r="B6" s="4" t="s">
        <v>36</v>
      </c>
      <c r="C6" s="4">
        <v>1</v>
      </c>
      <c r="D6" s="17">
        <v>5499</v>
      </c>
      <c r="E6" s="17">
        <f>SUM(C6*D6)</f>
        <v>5499</v>
      </c>
      <c r="F6" s="18">
        <f t="shared" si="0"/>
        <v>1264.77</v>
      </c>
      <c r="G6" s="18">
        <f t="shared" si="1"/>
        <v>6763.77</v>
      </c>
    </row>
    <row r="7" spans="1:7" x14ac:dyDescent="0.25">
      <c r="A7" s="4" t="s">
        <v>31</v>
      </c>
      <c r="B7" s="4" t="s">
        <v>37</v>
      </c>
      <c r="C7" s="4">
        <v>2</v>
      </c>
      <c r="D7" s="17">
        <v>89</v>
      </c>
      <c r="E7" s="17">
        <f>SUM(C7*D7)</f>
        <v>178</v>
      </c>
      <c r="F7" s="18">
        <f t="shared" si="0"/>
        <v>40.940000000000005</v>
      </c>
      <c r="G7" s="18">
        <f t="shared" si="1"/>
        <v>218.94</v>
      </c>
    </row>
    <row r="8" spans="1:7" x14ac:dyDescent="0.25">
      <c r="A8" s="4" t="s">
        <v>31</v>
      </c>
      <c r="B8" s="4" t="s">
        <v>38</v>
      </c>
      <c r="C8" s="4">
        <v>2</v>
      </c>
      <c r="D8" s="17">
        <v>1299</v>
      </c>
      <c r="E8" s="17">
        <f>SUM(D8*C8)</f>
        <v>2598</v>
      </c>
      <c r="F8" s="18">
        <f t="shared" si="0"/>
        <v>597.54000000000008</v>
      </c>
      <c r="G8" s="18">
        <f t="shared" si="1"/>
        <v>3195.54</v>
      </c>
    </row>
    <row r="9" spans="1:7" x14ac:dyDescent="0.25">
      <c r="A9" s="4"/>
      <c r="B9" s="4"/>
      <c r="C9" s="4"/>
      <c r="D9" s="17"/>
      <c r="E9" s="17"/>
      <c r="F9" s="18"/>
      <c r="G9" s="18"/>
    </row>
    <row r="10" spans="1:7" x14ac:dyDescent="0.25">
      <c r="A10" s="4" t="s">
        <v>32</v>
      </c>
      <c r="B10" s="4" t="s">
        <v>43</v>
      </c>
      <c r="C10" s="4">
        <v>2</v>
      </c>
      <c r="D10" s="18">
        <v>619.13</v>
      </c>
      <c r="E10" s="18">
        <f>SUM(D10*C10)</f>
        <v>1238.26</v>
      </c>
      <c r="F10" s="18">
        <f t="shared" si="0"/>
        <v>284.7998</v>
      </c>
      <c r="G10" s="18">
        <f t="shared" si="1"/>
        <v>1523.0598</v>
      </c>
    </row>
    <row r="11" spans="1:7" x14ac:dyDescent="0.25">
      <c r="A11" s="4" t="s">
        <v>32</v>
      </c>
      <c r="B11" s="4" t="s">
        <v>44</v>
      </c>
      <c r="C11" s="4">
        <v>1</v>
      </c>
      <c r="D11" s="17">
        <v>1680</v>
      </c>
      <c r="E11" s="18">
        <f>SUM(D11*C11)</f>
        <v>1680</v>
      </c>
      <c r="F11" s="18">
        <f t="shared" si="0"/>
        <v>386.40000000000003</v>
      </c>
      <c r="G11" s="18">
        <f t="shared" si="1"/>
        <v>2066.4</v>
      </c>
    </row>
    <row r="12" spans="1:7" x14ac:dyDescent="0.25">
      <c r="A12" s="4" t="s">
        <v>32</v>
      </c>
      <c r="B12" s="4" t="s">
        <v>6</v>
      </c>
      <c r="C12" s="4">
        <v>1</v>
      </c>
      <c r="D12" s="17">
        <v>350</v>
      </c>
      <c r="E12" s="18">
        <f>SUM(D12*C12)</f>
        <v>350</v>
      </c>
      <c r="F12" s="18">
        <f t="shared" si="0"/>
        <v>80.5</v>
      </c>
      <c r="G12" s="18">
        <f t="shared" si="1"/>
        <v>430.5</v>
      </c>
    </row>
    <row r="13" spans="1:7" x14ac:dyDescent="0.25">
      <c r="A13" s="4"/>
      <c r="B13" s="4"/>
      <c r="C13" s="4"/>
      <c r="D13" s="17"/>
      <c r="E13" s="18"/>
      <c r="F13" s="18"/>
      <c r="G13" s="18"/>
    </row>
    <row r="14" spans="1:7" x14ac:dyDescent="0.25">
      <c r="A14" s="4" t="s">
        <v>33</v>
      </c>
      <c r="B14" s="4" t="s">
        <v>45</v>
      </c>
      <c r="C14" s="4">
        <v>5</v>
      </c>
      <c r="D14" s="17">
        <v>75</v>
      </c>
      <c r="E14" s="18">
        <f>SUM(D14*C14)</f>
        <v>375</v>
      </c>
      <c r="F14" s="18">
        <f t="shared" si="0"/>
        <v>86.25</v>
      </c>
      <c r="G14" s="18">
        <f t="shared" si="1"/>
        <v>461.25</v>
      </c>
    </row>
    <row r="15" spans="1:7" x14ac:dyDescent="0.25">
      <c r="A15" s="4" t="s">
        <v>33</v>
      </c>
      <c r="B15" s="4" t="s">
        <v>46</v>
      </c>
      <c r="C15" s="4">
        <v>5</v>
      </c>
      <c r="D15" s="17">
        <v>75</v>
      </c>
      <c r="E15" s="18">
        <f>SUM(D15*C15)</f>
        <v>375</v>
      </c>
      <c r="F15" s="18">
        <f t="shared" si="0"/>
        <v>86.25</v>
      </c>
      <c r="G15" s="18">
        <f t="shared" si="1"/>
        <v>461.25</v>
      </c>
    </row>
    <row r="16" spans="1:7" x14ac:dyDescent="0.25">
      <c r="A16" s="4" t="s">
        <v>33</v>
      </c>
      <c r="B16" s="4" t="s">
        <v>47</v>
      </c>
      <c r="C16" s="4">
        <v>96</v>
      </c>
      <c r="D16" s="17">
        <v>5</v>
      </c>
      <c r="E16" s="18">
        <f>SUM(D16*C16)</f>
        <v>480</v>
      </c>
      <c r="F16" s="18">
        <f t="shared" si="0"/>
        <v>110.4</v>
      </c>
      <c r="G16" s="18">
        <f t="shared" si="1"/>
        <v>590.4</v>
      </c>
    </row>
    <row r="17" spans="1:7" x14ac:dyDescent="0.25">
      <c r="A17" s="4" t="s">
        <v>33</v>
      </c>
      <c r="B17" s="4" t="s">
        <v>7</v>
      </c>
      <c r="C17" s="4">
        <v>1</v>
      </c>
      <c r="D17" s="17">
        <v>450</v>
      </c>
      <c r="E17" s="18">
        <f>SUM(D17*C17)</f>
        <v>450</v>
      </c>
      <c r="F17" s="18">
        <f t="shared" si="0"/>
        <v>103.5</v>
      </c>
      <c r="G17" s="18">
        <f t="shared" si="1"/>
        <v>553.5</v>
      </c>
    </row>
    <row r="18" spans="1:7" x14ac:dyDescent="0.25">
      <c r="A18" s="4"/>
      <c r="B18" s="4"/>
      <c r="C18" s="4"/>
      <c r="D18" s="17"/>
      <c r="E18" s="18"/>
      <c r="F18" s="18"/>
      <c r="G18" s="18"/>
    </row>
    <row r="19" spans="1:7" x14ac:dyDescent="0.25">
      <c r="A19" s="4" t="s">
        <v>41</v>
      </c>
      <c r="B19" s="4" t="s">
        <v>48</v>
      </c>
      <c r="C19" s="4">
        <v>16</v>
      </c>
      <c r="D19" s="17">
        <v>65</v>
      </c>
      <c r="E19" s="18">
        <f>SUM(D19*C19)</f>
        <v>1040</v>
      </c>
      <c r="F19" s="18">
        <f t="shared" si="0"/>
        <v>239.20000000000002</v>
      </c>
      <c r="G19" s="18">
        <f t="shared" si="1"/>
        <v>1279.2</v>
      </c>
    </row>
    <row r="20" spans="1:7" x14ac:dyDescent="0.25">
      <c r="A20" s="4" t="s">
        <v>41</v>
      </c>
      <c r="B20" s="4" t="s">
        <v>50</v>
      </c>
      <c r="C20" s="4">
        <v>8</v>
      </c>
      <c r="D20" s="17">
        <v>75</v>
      </c>
      <c r="E20" s="18">
        <f>SUM(D20*C20)</f>
        <v>600</v>
      </c>
      <c r="F20" s="18">
        <f t="shared" si="0"/>
        <v>138</v>
      </c>
      <c r="G20" s="18">
        <f t="shared" si="1"/>
        <v>738</v>
      </c>
    </row>
    <row r="21" spans="1:7" x14ac:dyDescent="0.25">
      <c r="A21" s="4" t="s">
        <v>41</v>
      </c>
      <c r="B21" s="4" t="s">
        <v>49</v>
      </c>
      <c r="C21" s="4">
        <v>8</v>
      </c>
      <c r="D21" s="17">
        <v>75</v>
      </c>
      <c r="E21" s="18">
        <f>SUM(D21*C21)</f>
        <v>600</v>
      </c>
      <c r="F21" s="18">
        <f t="shared" si="0"/>
        <v>138</v>
      </c>
      <c r="G21" s="18">
        <f t="shared" si="1"/>
        <v>738</v>
      </c>
    </row>
    <row r="22" spans="1:7" x14ac:dyDescent="0.25">
      <c r="A22" s="4" t="s">
        <v>41</v>
      </c>
      <c r="B22" s="4" t="s">
        <v>51</v>
      </c>
      <c r="C22" s="4">
        <v>4</v>
      </c>
      <c r="D22" s="17">
        <v>65</v>
      </c>
      <c r="E22" s="18">
        <f>SUM(D22*C22)</f>
        <v>260</v>
      </c>
      <c r="F22" s="18">
        <f t="shared" si="0"/>
        <v>59.800000000000004</v>
      </c>
      <c r="G22" s="18">
        <f t="shared" si="1"/>
        <v>319.8</v>
      </c>
    </row>
    <row r="23" spans="1:7" x14ac:dyDescent="0.25">
      <c r="A23" s="1"/>
      <c r="B23" s="1"/>
      <c r="F23" s="1"/>
      <c r="G23" s="1"/>
    </row>
    <row r="24" spans="1:7" x14ac:dyDescent="0.25">
      <c r="A24" s="4" t="s">
        <v>52</v>
      </c>
      <c r="B24" s="4" t="s">
        <v>53</v>
      </c>
      <c r="C24" s="4">
        <f>SUM(C2:C5, C7:C22)</f>
        <v>155</v>
      </c>
      <c r="D24" s="17">
        <f>SUM(D2:D22)</f>
        <v>18618.129999999997</v>
      </c>
      <c r="E24" s="19">
        <f>SUM(E2:E5, E7:E22)</f>
        <v>23920.26</v>
      </c>
      <c r="F24" s="19">
        <f>SUM(F2:F5, F7:F22)</f>
        <v>5501.6597999999994</v>
      </c>
      <c r="G24" s="4"/>
    </row>
    <row r="25" spans="1:7" x14ac:dyDescent="0.25">
      <c r="A25" s="4" t="s">
        <v>52</v>
      </c>
      <c r="B25" s="4" t="s">
        <v>54</v>
      </c>
      <c r="C25" s="4">
        <f>SUM(C2:C5, C7:C22)</f>
        <v>155</v>
      </c>
      <c r="D25" s="18">
        <f>SUM(D24*1.23)</f>
        <v>22900.299899999998</v>
      </c>
      <c r="E25" s="19">
        <f>SUM(E24 +F24)</f>
        <v>29421.919799999996</v>
      </c>
      <c r="F25" s="4"/>
      <c r="G25" s="4"/>
    </row>
    <row r="26" spans="1:7" x14ac:dyDescent="0.25">
      <c r="A26" s="4" t="s">
        <v>52</v>
      </c>
      <c r="B26" s="4" t="s">
        <v>58</v>
      </c>
      <c r="C26" s="4">
        <f>SUM(C2:C22)</f>
        <v>156</v>
      </c>
      <c r="D26" s="18">
        <f>SUM(D25 + G6)</f>
        <v>29664.069899999999</v>
      </c>
      <c r="E26" s="36">
        <f>SUM(E2:E22)</f>
        <v>29419.26</v>
      </c>
      <c r="F26" s="36">
        <f>SUM(F2:F22)</f>
        <v>6766.429799999999</v>
      </c>
      <c r="G26" s="6"/>
    </row>
    <row r="27" spans="1:7" x14ac:dyDescent="0.25">
      <c r="E27" s="35"/>
    </row>
    <row r="30" spans="1:7" x14ac:dyDescent="0.25">
      <c r="D30" s="21"/>
    </row>
    <row r="31" spans="1:7" x14ac:dyDescent="0.25">
      <c r="E31" s="20"/>
      <c r="F31" s="20"/>
    </row>
  </sheetData>
  <autoFilter ref="A1:E1" xr:uid="{8A71141C-B4E3-4D7C-B716-52FD78F038ED}"/>
  <conditionalFormatting sqref="A1:XFD23 A24:D24 F24:XFD24 A25:XFD25 A26:D26 F26:XFD26 A27:E27 G27:XFD27 A28:XFD1048576">
    <cfRule type="expression" dxfId="0" priority="1">
      <formula>MOD(ROW(),2)=0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RU</vt:lpstr>
      <vt:lpstr>Unit_Price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Stewart - STUDENT</dc:creator>
  <cp:lastModifiedBy>Philip Stewart - STUDENT</cp:lastModifiedBy>
  <dcterms:created xsi:type="dcterms:W3CDTF">2025-04-24T19:14:18Z</dcterms:created>
  <dcterms:modified xsi:type="dcterms:W3CDTF">2025-04-24T21:34:54Z</dcterms:modified>
</cp:coreProperties>
</file>